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Feshie\rota\"/>
    </mc:Choice>
  </mc:AlternateContent>
  <xr:revisionPtr revIDLastSave="0" documentId="8_{9378692A-1B38-4DC3-89B4-955D949A1675}" xr6:coauthVersionLast="47" xr6:coauthVersionMax="47" xr10:uidLastSave="{00000000-0000-0000-0000-000000000000}"/>
  <bookViews>
    <workbookView xWindow="38280" yWindow="-225" windowWidth="38640" windowHeight="21120" xr2:uid="{00000000-000D-0000-FFFF-FFFF00000000}"/>
  </bookViews>
  <sheets>
    <sheet name="General ro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51" i="1" l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BS34" i="1"/>
  <c r="BS33" i="1"/>
  <c r="BS32" i="1"/>
  <c r="BS31" i="1"/>
  <c r="BS30" i="1"/>
  <c r="BS29" i="1"/>
  <c r="BS28" i="1"/>
  <c r="BS27" i="1"/>
  <c r="BS26" i="1"/>
  <c r="BS25" i="1"/>
  <c r="BS24" i="1"/>
  <c r="BS21" i="1"/>
  <c r="BS20" i="1"/>
  <c r="BS19" i="1"/>
  <c r="BS18" i="1"/>
  <c r="BS17" i="1"/>
  <c r="BS16" i="1"/>
  <c r="BS15" i="1"/>
  <c r="BS14" i="1"/>
  <c r="BS36" i="1" s="1"/>
  <c r="BS13" i="1"/>
  <c r="BS10" i="1"/>
  <c r="BS38" i="1" s="1"/>
  <c r="BS9" i="1"/>
  <c r="BS8" i="1"/>
  <c r="BS7" i="1"/>
  <c r="BS6" i="1"/>
  <c r="BS5" i="1"/>
  <c r="BS4" i="1"/>
  <c r="BS37" i="1" l="1"/>
</calcChain>
</file>

<file path=xl/sharedStrings.xml><?xml version="1.0" encoding="utf-8"?>
<sst xmlns="http://schemas.openxmlformats.org/spreadsheetml/2006/main" count="192" uniqueCount="123">
  <si>
    <t xml:space="preserve">2026 DUTY ROTA 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</si>
  <si>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</si>
  <si>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</si>
  <si>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</si>
  <si>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</si>
  <si>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</si>
  <si>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</si>
  <si>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</si>
  <si>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</si>
  <si>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Weekend duties</t>
  </si>
  <si>
    <t>Notes</t>
  </si>
  <si>
    <t>Tug pilots</t>
  </si>
  <si>
    <t>Ian Carruthers</t>
  </si>
  <si>
    <t>Prefers whole weekends</t>
  </si>
  <si>
    <t>Nick Norman</t>
  </si>
  <si>
    <t>Nick Norman*</t>
  </si>
  <si>
    <t>Bob Forrest</t>
  </si>
  <si>
    <t>Saturdays only</t>
  </si>
  <si>
    <t>Roger Fothergill</t>
  </si>
  <si>
    <t>Paul Myers</t>
  </si>
  <si>
    <t>Paul Myers*</t>
  </si>
  <si>
    <t>Stewart Hills</t>
  </si>
  <si>
    <t>Alan Mossman</t>
  </si>
  <si>
    <t>Alan Mossman*</t>
  </si>
  <si>
    <t>&gt;&gt;</t>
  </si>
  <si>
    <t>&lt;&lt; club flying week</t>
  </si>
  <si>
    <t>Instructors</t>
  </si>
  <si>
    <t>Mike Morrison</t>
  </si>
  <si>
    <t>Alison Myers</t>
  </si>
  <si>
    <t>David Weekes</t>
  </si>
  <si>
    <t>Paul Maddocks</t>
  </si>
  <si>
    <t>Jordan Thomson (BI)</t>
  </si>
  <si>
    <t>Mainly visitor flights</t>
  </si>
  <si>
    <t>Andy Farr (BI)</t>
  </si>
  <si>
    <t>Duty pilots</t>
  </si>
  <si>
    <t>Bill Anderson</t>
  </si>
  <si>
    <t>Sundays only</t>
  </si>
  <si>
    <t>Miles Davis</t>
  </si>
  <si>
    <t>Prefers Saturdays</t>
  </si>
  <si>
    <t>Craig Chatburn</t>
  </si>
  <si>
    <t>Caroline Comfort</t>
  </si>
  <si>
    <t>Tony Cresswell</t>
  </si>
  <si>
    <t>Peter Hadfield</t>
  </si>
  <si>
    <t>Lee Mitchell</t>
  </si>
  <si>
    <t>Prefers Sundays</t>
  </si>
  <si>
    <t>John Smyth</t>
  </si>
  <si>
    <t>Stephen Struthers</t>
  </si>
  <si>
    <t>Gaby Telerman</t>
  </si>
  <si>
    <t>Pete Thomson</t>
  </si>
  <si>
    <t xml:space="preserve">Local sunset  </t>
  </si>
  <si>
    <t>1801</t>
  </si>
  <si>
    <t>1803</t>
  </si>
  <si>
    <t>1816</t>
  </si>
  <si>
    <t>1818</t>
  </si>
  <si>
    <t>1831</t>
  </si>
  <si>
    <t>1833</t>
  </si>
  <si>
    <t>1846</t>
  </si>
  <si>
    <t>1948</t>
  </si>
  <si>
    <t>2001</t>
  </si>
  <si>
    <t>2003</t>
  </si>
  <si>
    <t>2016</t>
  </si>
  <si>
    <t>2018</t>
  </si>
  <si>
    <t>2031</t>
  </si>
  <si>
    <t>2033</t>
  </si>
  <si>
    <t>2046</t>
  </si>
  <si>
    <t>2048</t>
  </si>
  <si>
    <t>2101</t>
  </si>
  <si>
    <t>2103</t>
  </si>
  <si>
    <t>2116</t>
  </si>
  <si>
    <t>2118</t>
  </si>
  <si>
    <t>2130</t>
  </si>
  <si>
    <t>2132</t>
  </si>
  <si>
    <t>2143</t>
  </si>
  <si>
    <t>2145</t>
  </si>
  <si>
    <t>2155</t>
  </si>
  <si>
    <t>2156</t>
  </si>
  <si>
    <t>2204</t>
  </si>
  <si>
    <t>2206</t>
  </si>
  <si>
    <t>2211</t>
  </si>
  <si>
    <t>2212</t>
  </si>
  <si>
    <t>2215</t>
  </si>
  <si>
    <t>2205</t>
  </si>
  <si>
    <t>2154</t>
  </si>
  <si>
    <t>2144</t>
  </si>
  <si>
    <t>2142</t>
  </si>
  <si>
    <t>2128</t>
  </si>
  <si>
    <t>2115</t>
  </si>
  <si>
    <t>2112</t>
  </si>
  <si>
    <t>2058</t>
  </si>
  <si>
    <t>2055</t>
  </si>
  <si>
    <t>2040</t>
  </si>
  <si>
    <t>2038</t>
  </si>
  <si>
    <t>2022</t>
  </si>
  <si>
    <t>2019</t>
  </si>
  <si>
    <t>2000</t>
  </si>
  <si>
    <t>1944</t>
  </si>
  <si>
    <t>1941</t>
  </si>
  <si>
    <t>1924</t>
  </si>
  <si>
    <t>1922</t>
  </si>
  <si>
    <t>1905</t>
  </si>
  <si>
    <t>1902</t>
  </si>
  <si>
    <t>1843</t>
  </si>
  <si>
    <t>1827</t>
  </si>
  <si>
    <t>1824</t>
  </si>
  <si>
    <t>1809</t>
  </si>
  <si>
    <t>1806</t>
  </si>
  <si>
    <t>1751</t>
  </si>
  <si>
    <t>1648</t>
  </si>
  <si>
    <t>*Total duties</t>
  </si>
  <si>
    <t>Easter</t>
  </si>
  <si>
    <t>ICL</t>
  </si>
  <si>
    <t>Fest</t>
  </si>
  <si>
    <t>Tug pilot errors</t>
  </si>
  <si>
    <t>Instructor errors</t>
  </si>
  <si>
    <t>Duty pilot errors</t>
  </si>
  <si>
    <t>X=Nick clash</t>
  </si>
  <si>
    <t>X=Alan clash</t>
  </si>
  <si>
    <t>X=Myers clash</t>
  </si>
  <si>
    <t>Clocks Change</t>
  </si>
  <si>
    <t>Not Available</t>
  </si>
  <si>
    <t>60th Anniversary</t>
  </si>
  <si>
    <t>Subscribe to this calendar: https://raw.githubusercontent.com/feshiegliding/downloads/main/cgc-rota.ics</t>
  </si>
  <si>
    <t>VERSION #8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</si>
</sst>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8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Arial Narrow"/>
      <family val="2"/>
    </font>
    <font>
      <b/>
      <i/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DashDot">
        <color auto="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DashDot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Dot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Dot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DashDot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DashDot">
        <color indexed="64"/>
      </right>
      <top/>
      <bottom/>
      <diagonal/>
    </border>
    <border>
      <left style="thin">
        <color indexed="64"/>
      </left>
      <right style="mediumDashDot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DashDot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Dot">
        <color indexed="64"/>
      </right>
      <top style="thin">
        <color indexed="64"/>
      </top>
      <bottom style="thin">
        <color indexed="64"/>
      </bottom>
      <diagonal/>
    </border>
    <border>
      <left/>
      <right style="mediumDashDot">
        <color indexed="64"/>
      </right>
      <top style="thin">
        <color indexed="64"/>
      </top>
      <bottom style="medium">
        <color indexed="64"/>
      </bottom>
      <diagonal/>
    </border>
    <border>
      <left/>
      <right style="mediumDashDot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1" fillId="0" borderId="1" xfId="0" applyFont="1" applyBorder="1"/>
    <xf numFmtId="2" fontId="4" fillId="0" borderId="0" xfId="0" applyNumberFormat="1" applyFont="1"/>
    <xf numFmtId="2" fontId="5" fillId="0" borderId="0" xfId="0" applyNumberFormat="1" applyFont="1" applyAlignment="1">
      <alignment horizontal="right" vertical="center"/>
    </xf>
    <xf numFmtId="0" fontId="0" fillId="0" borderId="3" xfId="0" applyBorder="1"/>
    <xf numFmtId="0" fontId="0" fillId="0" borderId="1" xfId="0" applyBorder="1"/>
    <xf numFmtId="2" fontId="4" fillId="0" borderId="0" xfId="0" applyNumberFormat="1" applyFont="1" applyAlignment="1">
      <alignment horizontal="left" vertical="center" textRotation="90"/>
    </xf>
    <xf numFmtId="14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5" xfId="0" applyBorder="1"/>
    <xf numFmtId="0" fontId="1" fillId="0" borderId="20" xfId="0" applyFont="1" applyBorder="1"/>
    <xf numFmtId="0" fontId="1" fillId="0" borderId="9" xfId="0" applyFont="1" applyBorder="1"/>
    <xf numFmtId="0" fontId="1" fillId="0" borderId="21" xfId="0" applyFont="1" applyBorder="1"/>
    <xf numFmtId="0" fontId="1" fillId="0" borderId="22" xfId="0" applyFont="1" applyBorder="1"/>
    <xf numFmtId="2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4" xfId="0" applyFont="1" applyBorder="1"/>
    <xf numFmtId="0" fontId="1" fillId="0" borderId="17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9" xfId="0" applyFont="1" applyBorder="1"/>
    <xf numFmtId="0" fontId="1" fillId="0" borderId="0" xfId="0" applyFont="1" applyAlignment="1">
      <alignment horizontal="right" vertical="center"/>
    </xf>
    <xf numFmtId="0" fontId="0" fillId="0" borderId="12" xfId="0" applyBorder="1"/>
    <xf numFmtId="0" fontId="0" fillId="0" borderId="13" xfId="0" applyBorder="1"/>
    <xf numFmtId="0" fontId="0" fillId="0" borderId="19" xfId="0" applyBorder="1"/>
    <xf numFmtId="0" fontId="1" fillId="0" borderId="24" xfId="0" applyFont="1" applyBorder="1"/>
    <xf numFmtId="0" fontId="6" fillId="0" borderId="0" xfId="0" applyFont="1"/>
    <xf numFmtId="0" fontId="7" fillId="0" borderId="0" xfId="0" applyFont="1"/>
    <xf numFmtId="0" fontId="1" fillId="0" borderId="8" xfId="0" applyFont="1" applyBorder="1"/>
    <xf numFmtId="1" fontId="4" fillId="0" borderId="35" xfId="0" applyNumberFormat="1" applyFont="1" applyBorder="1" applyAlignment="1">
      <alignment horizontal="left" vertical="center" textRotation="90"/>
    </xf>
    <xf numFmtId="1" fontId="4" fillId="0" borderId="36" xfId="0" applyNumberFormat="1" applyFont="1" applyBorder="1" applyAlignment="1">
      <alignment horizontal="left" vertical="center" textRotation="90"/>
    </xf>
    <xf numFmtId="1" fontId="4" fillId="0" borderId="36" xfId="0" applyNumberFormat="1" applyFont="1" applyBorder="1" applyAlignment="1">
      <alignment horizontal="center" vertical="center" textRotation="90"/>
    </xf>
    <xf numFmtId="1" fontId="4" fillId="0" borderId="44" xfId="0" applyNumberFormat="1" applyFont="1" applyBorder="1" applyAlignment="1">
      <alignment horizontal="left" vertical="center" textRotation="90"/>
    </xf>
    <xf numFmtId="1" fontId="4" fillId="0" borderId="41" xfId="0" applyNumberFormat="1" applyFont="1" applyBorder="1" applyAlignment="1">
      <alignment horizontal="left" vertical="center" textRotation="90"/>
    </xf>
    <xf numFmtId="0" fontId="1" fillId="0" borderId="7" xfId="0" applyFont="1" applyBorder="1"/>
    <xf numFmtId="0" fontId="1" fillId="0" borderId="16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5" xfId="0" applyFont="1" applyBorder="1"/>
    <xf numFmtId="0" fontId="2" fillId="0" borderId="3" xfId="0" applyFont="1" applyBorder="1"/>
    <xf numFmtId="0" fontId="4" fillId="0" borderId="35" xfId="0" applyFont="1" applyBorder="1" applyAlignment="1">
      <alignment horizontal="center" vertical="center" textRotation="90"/>
    </xf>
    <xf numFmtId="0" fontId="4" fillId="0" borderId="36" xfId="0" applyFont="1" applyBorder="1" applyAlignment="1">
      <alignment horizontal="center" vertical="center" textRotation="90"/>
    </xf>
    <xf numFmtId="0" fontId="0" fillId="0" borderId="14" xfId="0" applyBorder="1"/>
    <xf numFmtId="0" fontId="1" fillId="0" borderId="24" xfId="0" applyFont="1" applyBorder="1" applyAlignment="1">
      <alignment horizontal="left"/>
    </xf>
    <xf numFmtId="0" fontId="2" fillId="0" borderId="52" xfId="0" applyFont="1" applyBorder="1"/>
    <xf numFmtId="0" fontId="12" fillId="0" borderId="0" xfId="0" applyFont="1" applyAlignment="1">
      <alignment horizontal="right"/>
    </xf>
    <xf numFmtId="0" fontId="11" fillId="0" borderId="4" xfId="0" applyFont="1" applyBorder="1"/>
    <xf numFmtId="0" fontId="12" fillId="0" borderId="0" xfId="0" applyFont="1" applyAlignment="1">
      <alignment horizontal="left"/>
    </xf>
    <xf numFmtId="0" fontId="12" fillId="0" borderId="13" xfId="0" applyFont="1" applyBorder="1"/>
    <xf numFmtId="0" fontId="12" fillId="0" borderId="0" xfId="0" applyFont="1"/>
    <xf numFmtId="1" fontId="0" fillId="0" borderId="10" xfId="0" applyNumberFormat="1" applyBorder="1" applyAlignment="1">
      <alignment horizontal="right"/>
    </xf>
    <xf numFmtId="1" fontId="0" fillId="0" borderId="30" xfId="0" applyNumberForma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1" fontId="0" fillId="0" borderId="10" xfId="0" applyNumberFormat="1" applyBorder="1"/>
    <xf numFmtId="1" fontId="0" fillId="0" borderId="25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1" fontId="0" fillId="0" borderId="30" xfId="0" applyNumberFormat="1" applyBorder="1"/>
    <xf numFmtId="1" fontId="0" fillId="0" borderId="27" xfId="0" applyNumberFormat="1" applyBorder="1"/>
    <xf numFmtId="1" fontId="0" fillId="0" borderId="1" xfId="0" applyNumberFormat="1" applyBorder="1"/>
    <xf numFmtId="1" fontId="12" fillId="0" borderId="4" xfId="0" applyNumberFormat="1" applyFont="1" applyBorder="1" applyAlignment="1">
      <alignment horizontal="right"/>
    </xf>
    <xf numFmtId="1" fontId="12" fillId="0" borderId="31" xfId="0" applyNumberFormat="1" applyFont="1" applyBorder="1" applyAlignment="1">
      <alignment horizontal="right"/>
    </xf>
    <xf numFmtId="1" fontId="12" fillId="0" borderId="4" xfId="0" applyNumberFormat="1" applyFont="1" applyBorder="1"/>
    <xf numFmtId="1" fontId="12" fillId="0" borderId="1" xfId="0" applyNumberFormat="1" applyFont="1" applyBorder="1"/>
    <xf numFmtId="1" fontId="12" fillId="0" borderId="31" xfId="0" applyNumberFormat="1" applyFont="1" applyBorder="1"/>
    <xf numFmtId="1" fontId="12" fillId="0" borderId="28" xfId="0" applyNumberFormat="1" applyFont="1" applyBorder="1"/>
    <xf numFmtId="1" fontId="1" fillId="0" borderId="10" xfId="0" applyNumberFormat="1" applyFont="1" applyBorder="1"/>
    <xf numFmtId="1" fontId="1" fillId="0" borderId="25" xfId="0" applyNumberFormat="1" applyFont="1" applyBorder="1"/>
    <xf numFmtId="1" fontId="1" fillId="0" borderId="11" xfId="0" applyNumberFormat="1" applyFont="1" applyBorder="1"/>
    <xf numFmtId="1" fontId="1" fillId="0" borderId="12" xfId="0" applyNumberFormat="1" applyFont="1" applyBorder="1"/>
    <xf numFmtId="1" fontId="1" fillId="0" borderId="30" xfId="0" applyNumberFormat="1" applyFont="1" applyBorder="1"/>
    <xf numFmtId="1" fontId="1" fillId="0" borderId="27" xfId="0" applyNumberFormat="1" applyFont="1" applyBorder="1"/>
    <xf numFmtId="1" fontId="11" fillId="0" borderId="1" xfId="0" applyNumberFormat="1" applyFont="1" applyBorder="1"/>
    <xf numFmtId="1" fontId="11" fillId="0" borderId="31" xfId="0" applyNumberFormat="1" applyFont="1" applyBorder="1"/>
    <xf numFmtId="1" fontId="11" fillId="0" borderId="28" xfId="0" applyNumberFormat="1" applyFont="1" applyBorder="1"/>
    <xf numFmtId="1" fontId="1" fillId="0" borderId="3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0" borderId="4" xfId="0" applyNumberFormat="1" applyFont="1" applyBorder="1"/>
    <xf numFmtId="1" fontId="1" fillId="0" borderId="2" xfId="0" applyNumberFormat="1" applyFont="1" applyBorder="1"/>
    <xf numFmtId="1" fontId="1" fillId="0" borderId="1" xfId="0" applyNumberFormat="1" applyFont="1" applyBorder="1"/>
    <xf numFmtId="1" fontId="1" fillId="0" borderId="28" xfId="0" applyNumberFormat="1" applyFont="1" applyBorder="1"/>
    <xf numFmtId="1" fontId="1" fillId="0" borderId="31" xfId="0" applyNumberFormat="1" applyFont="1" applyBorder="1"/>
    <xf numFmtId="1" fontId="1" fillId="0" borderId="23" xfId="0" applyNumberFormat="1" applyFont="1" applyBorder="1" applyAlignment="1">
      <alignment horizontal="right"/>
    </xf>
    <xf numFmtId="1" fontId="1" fillId="0" borderId="40" xfId="0" applyNumberFormat="1" applyFont="1" applyBorder="1" applyAlignment="1">
      <alignment horizontal="right"/>
    </xf>
    <xf numFmtId="1" fontId="1" fillId="0" borderId="6" xfId="0" applyNumberFormat="1" applyFont="1" applyBorder="1" applyAlignment="1">
      <alignment horizontal="right"/>
    </xf>
    <xf numFmtId="1" fontId="1" fillId="0" borderId="23" xfId="0" applyNumberFormat="1" applyFont="1" applyBorder="1"/>
    <xf numFmtId="1" fontId="1" fillId="0" borderId="33" xfId="0" applyNumberFormat="1" applyFont="1" applyBorder="1"/>
    <xf numFmtId="1" fontId="1" fillId="0" borderId="6" xfId="0" applyNumberFormat="1" applyFont="1" applyBorder="1"/>
    <xf numFmtId="1" fontId="1" fillId="0" borderId="40" xfId="0" applyNumberFormat="1" applyFont="1" applyBorder="1"/>
    <xf numFmtId="1" fontId="1" fillId="0" borderId="14" xfId="0" applyNumberFormat="1" applyFont="1" applyBorder="1"/>
    <xf numFmtId="1" fontId="1" fillId="0" borderId="17" xfId="0" applyNumberFormat="1" applyFont="1" applyBorder="1" applyAlignment="1">
      <alignment horizontal="right"/>
    </xf>
    <xf numFmtId="1" fontId="1" fillId="0" borderId="32" xfId="0" applyNumberFormat="1" applyFont="1" applyBorder="1" applyAlignment="1">
      <alignment horizontal="right"/>
    </xf>
    <xf numFmtId="1" fontId="1" fillId="0" borderId="18" xfId="0" applyNumberFormat="1" applyFont="1" applyBorder="1" applyAlignment="1">
      <alignment horizontal="right"/>
    </xf>
    <xf numFmtId="1" fontId="1" fillId="0" borderId="19" xfId="0" applyNumberFormat="1" applyFont="1" applyBorder="1"/>
    <xf numFmtId="1" fontId="1" fillId="0" borderId="17" xfId="0" applyNumberFormat="1" applyFont="1" applyBorder="1"/>
    <xf numFmtId="1" fontId="1" fillId="0" borderId="18" xfId="0" applyNumberFormat="1" applyFont="1" applyBorder="1"/>
    <xf numFmtId="1" fontId="1" fillId="0" borderId="32" xfId="0" applyNumberFormat="1" applyFont="1" applyBorder="1"/>
    <xf numFmtId="1" fontId="1" fillId="0" borderId="4" xfId="0" applyNumberFormat="1" applyFont="1" applyBorder="1" applyAlignment="1">
      <alignment horizontal="right"/>
    </xf>
    <xf numFmtId="1" fontId="1" fillId="0" borderId="34" xfId="0" applyNumberFormat="1" applyFont="1" applyBorder="1"/>
    <xf numFmtId="1" fontId="1" fillId="0" borderId="49" xfId="0" applyNumberFormat="1" applyFont="1" applyBorder="1"/>
    <xf numFmtId="1" fontId="1" fillId="0" borderId="46" xfId="0" applyNumberFormat="1" applyFont="1" applyBorder="1"/>
    <xf numFmtId="1" fontId="1" fillId="0" borderId="13" xfId="0" applyNumberFormat="1" applyFont="1" applyBorder="1"/>
    <xf numFmtId="1" fontId="11" fillId="0" borderId="4" xfId="0" applyNumberFormat="1" applyFont="1" applyBorder="1"/>
    <xf numFmtId="1" fontId="11" fillId="0" borderId="2" xfId="0" applyNumberFormat="1" applyFont="1" applyBorder="1"/>
    <xf numFmtId="1" fontId="11" fillId="0" borderId="4" xfId="0" applyNumberFormat="1" applyFont="1" applyBorder="1" applyAlignment="1">
      <alignment horizontal="right"/>
    </xf>
    <xf numFmtId="1" fontId="11" fillId="0" borderId="3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1" fontId="11" fillId="0" borderId="46" xfId="0" applyNumberFormat="1" applyFont="1" applyBorder="1"/>
    <xf numFmtId="1" fontId="11" fillId="0" borderId="13" xfId="0" applyNumberFormat="1" applyFont="1" applyBorder="1"/>
    <xf numFmtId="1" fontId="0" fillId="0" borderId="4" xfId="0" applyNumberFormat="1" applyBorder="1" applyAlignment="1">
      <alignment horizontal="right"/>
    </xf>
    <xf numFmtId="1" fontId="0" fillId="0" borderId="3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4" xfId="0" applyNumberFormat="1" applyBorder="1"/>
    <xf numFmtId="1" fontId="0" fillId="0" borderId="2" xfId="0" applyNumberFormat="1" applyBorder="1"/>
    <xf numFmtId="1" fontId="0" fillId="0" borderId="28" xfId="0" applyNumberFormat="1" applyBorder="1"/>
    <xf numFmtId="1" fontId="0" fillId="0" borderId="46" xfId="0" applyNumberFormat="1" applyBorder="1"/>
    <xf numFmtId="1" fontId="0" fillId="0" borderId="13" xfId="0" applyNumberFormat="1" applyBorder="1"/>
    <xf numFmtId="1" fontId="0" fillId="0" borderId="31" xfId="0" applyNumberFormat="1" applyBorder="1"/>
    <xf numFmtId="1" fontId="0" fillId="0" borderId="17" xfId="0" applyNumberFormat="1" applyBorder="1" applyAlignment="1">
      <alignment horizontal="right"/>
    </xf>
    <xf numFmtId="1" fontId="0" fillId="0" borderId="32" xfId="0" applyNumberFormat="1" applyBorder="1" applyAlignment="1">
      <alignment horizontal="right"/>
    </xf>
    <xf numFmtId="1" fontId="0" fillId="0" borderId="18" xfId="0" applyNumberFormat="1" applyBorder="1" applyAlignment="1">
      <alignment horizontal="right"/>
    </xf>
    <xf numFmtId="1" fontId="0" fillId="0" borderId="17" xfId="0" applyNumberFormat="1" applyBorder="1"/>
    <xf numFmtId="1" fontId="0" fillId="0" borderId="26" xfId="0" applyNumberFormat="1" applyBorder="1"/>
    <xf numFmtId="1" fontId="0" fillId="0" borderId="18" xfId="0" applyNumberFormat="1" applyBorder="1"/>
    <xf numFmtId="1" fontId="0" fillId="0" borderId="29" xfId="0" applyNumberFormat="1" applyBorder="1"/>
    <xf numFmtId="1" fontId="0" fillId="0" borderId="48" xfId="0" applyNumberFormat="1" applyBorder="1"/>
    <xf numFmtId="1" fontId="0" fillId="0" borderId="19" xfId="0" applyNumberFormat="1" applyBorder="1"/>
    <xf numFmtId="1" fontId="0" fillId="0" borderId="32" xfId="0" applyNumberFormat="1" applyBorder="1"/>
    <xf numFmtId="1" fontId="1" fillId="0" borderId="26" xfId="0" applyNumberFormat="1" applyFont="1" applyBorder="1"/>
    <xf numFmtId="1" fontId="4" fillId="0" borderId="38" xfId="0" applyNumberFormat="1" applyFont="1" applyBorder="1" applyAlignment="1">
      <alignment horizontal="left" vertical="center" textRotation="90"/>
    </xf>
    <xf numFmtId="1" fontId="11" fillId="0" borderId="11" xfId="0" applyNumberFormat="1" applyFont="1" applyBorder="1"/>
    <xf numFmtId="1" fontId="1" fillId="0" borderId="29" xfId="0" applyNumberFormat="1" applyFont="1" applyBorder="1"/>
    <xf numFmtId="1" fontId="4" fillId="0" borderId="50" xfId="0" applyNumberFormat="1" applyFont="1" applyBorder="1" applyAlignment="1">
      <alignment horizontal="left" vertical="center" textRotation="90"/>
    </xf>
    <xf numFmtId="1" fontId="4" fillId="0" borderId="37" xfId="0" applyNumberFormat="1" applyFont="1" applyBorder="1" applyAlignment="1">
      <alignment horizontal="left" vertical="center" textRotation="90"/>
    </xf>
    <xf numFmtId="1" fontId="4" fillId="0" borderId="47" xfId="0" applyNumberFormat="1" applyFont="1" applyBorder="1" applyAlignment="1">
      <alignment horizontal="left" vertical="center" textRotation="90"/>
    </xf>
    <xf numFmtId="1" fontId="4" fillId="0" borderId="39" xfId="0" applyNumberFormat="1" applyFont="1" applyBorder="1" applyAlignment="1">
      <alignment horizontal="left" vertical="center" textRotation="90"/>
    </xf>
    <xf numFmtId="0" fontId="4" fillId="0" borderId="8" xfId="0" applyFont="1" applyBorder="1" applyAlignment="1">
      <alignment horizontal="center" vertical="center" textRotation="90"/>
    </xf>
    <xf numFmtId="1" fontId="4" fillId="0" borderId="51" xfId="0" applyNumberFormat="1" applyFont="1" applyBorder="1" applyAlignment="1">
      <alignment horizontal="left" vertical="center" textRotation="90"/>
    </xf>
    <xf numFmtId="0" fontId="1" fillId="0" borderId="8" xfId="0" applyFont="1" applyBorder="1" applyAlignment="1">
      <alignment horizontal="center"/>
    </xf>
    <xf numFmtId="1" fontId="1" fillId="0" borderId="45" xfId="0" applyNumberFormat="1" applyFont="1" applyBorder="1"/>
    <xf numFmtId="1" fontId="12" fillId="0" borderId="2" xfId="0" applyNumberFormat="1" applyFont="1" applyBorder="1"/>
    <xf numFmtId="1" fontId="0" fillId="0" borderId="53" xfId="0" applyNumberFormat="1" applyBorder="1"/>
    <xf numFmtId="0" fontId="2" fillId="0" borderId="8" xfId="0" applyFont="1" applyBorder="1"/>
    <xf numFmtId="1" fontId="1" fillId="0" borderId="30" xfId="0" applyNumberFormat="1" applyFont="1" applyBorder="1" applyAlignment="1">
      <alignment horizontal="right"/>
    </xf>
    <xf numFmtId="1" fontId="10" fillId="0" borderId="30" xfId="0" applyNumberFormat="1" applyFont="1" applyBorder="1" applyAlignment="1">
      <alignment horizontal="right"/>
    </xf>
    <xf numFmtId="1" fontId="1" fillId="0" borderId="11" xfId="0" applyNumberFormat="1" applyFont="1" applyBorder="1" applyAlignment="1">
      <alignment horizontal="right"/>
    </xf>
    <xf numFmtId="1" fontId="10" fillId="0" borderId="11" xfId="0" applyNumberFormat="1" applyFont="1" applyBorder="1"/>
    <xf numFmtId="1" fontId="10" fillId="0" borderId="25" xfId="0" applyNumberFormat="1" applyFont="1" applyBorder="1"/>
    <xf numFmtId="0" fontId="1" fillId="0" borderId="54" xfId="0" applyFont="1" applyBorder="1"/>
    <xf numFmtId="0" fontId="1" fillId="0" borderId="54" xfId="0" applyFont="1" applyBorder="1" applyAlignment="1">
      <alignment horizontal="center"/>
    </xf>
    <xf numFmtId="1" fontId="4" fillId="0" borderId="55" xfId="0" applyNumberFormat="1" applyFont="1" applyBorder="1" applyAlignment="1">
      <alignment horizontal="left" vertical="center" textRotation="90"/>
    </xf>
    <xf numFmtId="0" fontId="1" fillId="0" borderId="40" xfId="0" applyFont="1" applyBorder="1"/>
    <xf numFmtId="1" fontId="0" fillId="0" borderId="56" xfId="0" applyNumberFormat="1" applyBorder="1"/>
    <xf numFmtId="0" fontId="2" fillId="2" borderId="3" xfId="0" applyFont="1" applyFill="1" applyBorder="1"/>
    <xf numFmtId="0" fontId="2" fillId="2" borderId="0" xfId="0" applyFont="1" applyFill="1"/>
    <xf numFmtId="0" fontId="1" fillId="2" borderId="1" xfId="0" applyFont="1" applyFill="1" applyBorder="1"/>
    <xf numFmtId="1" fontId="0" fillId="3" borderId="4" xfId="0" applyNumberFormat="1" applyFill="1" applyBorder="1"/>
    <xf numFmtId="1" fontId="0" fillId="3" borderId="1" xfId="0" applyNumberFormat="1" applyFill="1" applyBorder="1"/>
    <xf numFmtId="1" fontId="0" fillId="3" borderId="13" xfId="0" applyNumberFormat="1" applyFill="1" applyBorder="1"/>
    <xf numFmtId="1" fontId="0" fillId="3" borderId="2" xfId="0" applyNumberFormat="1" applyFill="1" applyBorder="1"/>
    <xf numFmtId="1" fontId="0" fillId="3" borderId="11" xfId="0" applyNumberFormat="1" applyFill="1" applyBorder="1"/>
    <xf numFmtId="1" fontId="0" fillId="3" borderId="25" xfId="0" applyNumberFormat="1" applyFill="1" applyBorder="1"/>
    <xf numFmtId="1" fontId="0" fillId="3" borderId="27" xfId="0" applyNumberFormat="1" applyFill="1" applyBorder="1"/>
    <xf numFmtId="1" fontId="0" fillId="3" borderId="45" xfId="0" applyNumberFormat="1" applyFill="1" applyBorder="1"/>
    <xf numFmtId="1" fontId="0" fillId="3" borderId="31" xfId="0" applyNumberFormat="1" applyFill="1" applyBorder="1" applyAlignment="1">
      <alignment horizontal="right"/>
    </xf>
    <xf numFmtId="1" fontId="12" fillId="3" borderId="31" xfId="0" applyNumberFormat="1" applyFont="1" applyFill="1" applyBorder="1" applyAlignment="1">
      <alignment horizontal="right"/>
    </xf>
    <xf numFmtId="1" fontId="0" fillId="3" borderId="4" xfId="0" applyNumberFormat="1" applyFill="1" applyBorder="1" applyAlignment="1">
      <alignment horizontal="right"/>
    </xf>
    <xf numFmtId="1" fontId="0" fillId="3" borderId="32" xfId="0" applyNumberFormat="1" applyFill="1" applyBorder="1" applyAlignment="1">
      <alignment horizontal="right"/>
    </xf>
    <xf numFmtId="1" fontId="1" fillId="3" borderId="10" xfId="0" applyNumberFormat="1" applyFont="1" applyFill="1" applyBorder="1" applyAlignment="1">
      <alignment horizontal="right"/>
    </xf>
    <xf numFmtId="1" fontId="1" fillId="3" borderId="30" xfId="0" applyNumberFormat="1" applyFont="1" applyFill="1" applyBorder="1" applyAlignment="1">
      <alignment horizontal="right"/>
    </xf>
    <xf numFmtId="1" fontId="1" fillId="3" borderId="11" xfId="0" applyNumberFormat="1" applyFont="1" applyFill="1" applyBorder="1" applyAlignment="1">
      <alignment horizontal="right"/>
    </xf>
    <xf numFmtId="1" fontId="1" fillId="3" borderId="4" xfId="0" applyNumberFormat="1" applyFont="1" applyFill="1" applyBorder="1" applyAlignment="1">
      <alignment horizontal="right"/>
    </xf>
    <xf numFmtId="1" fontId="1" fillId="3" borderId="31" xfId="0" applyNumberFormat="1" applyFont="1" applyFill="1" applyBorder="1" applyAlignment="1">
      <alignment horizontal="right"/>
    </xf>
    <xf numFmtId="1" fontId="11" fillId="3" borderId="31" xfId="0" applyNumberFormat="1" applyFont="1" applyFill="1" applyBorder="1" applyAlignment="1">
      <alignment horizontal="right"/>
    </xf>
    <xf numFmtId="1" fontId="11" fillId="3" borderId="40" xfId="0" applyNumberFormat="1" applyFont="1" applyFill="1" applyBorder="1" applyAlignment="1">
      <alignment horizontal="right"/>
    </xf>
    <xf numFmtId="1" fontId="1" fillId="3" borderId="40" xfId="0" applyNumberFormat="1" applyFont="1" applyFill="1" applyBorder="1" applyAlignment="1">
      <alignment horizontal="right"/>
    </xf>
    <xf numFmtId="1" fontId="1" fillId="3" borderId="23" xfId="0" applyNumberFormat="1" applyFont="1" applyFill="1" applyBorder="1" applyAlignment="1">
      <alignment horizontal="right"/>
    </xf>
    <xf numFmtId="1" fontId="1" fillId="3" borderId="6" xfId="0" applyNumberFormat="1" applyFont="1" applyFill="1" applyBorder="1" applyAlignment="1">
      <alignment horizontal="right"/>
    </xf>
    <xf numFmtId="1" fontId="1" fillId="3" borderId="4" xfId="0" applyNumberFormat="1" applyFont="1" applyFill="1" applyBorder="1"/>
    <xf numFmtId="1" fontId="1" fillId="3" borderId="2" xfId="0" applyNumberFormat="1" applyFont="1" applyFill="1" applyBorder="1"/>
    <xf numFmtId="1" fontId="12" fillId="3" borderId="1" xfId="0" applyNumberFormat="1" applyFont="1" applyFill="1" applyBorder="1" applyAlignment="1">
      <alignment horizontal="right"/>
    </xf>
    <xf numFmtId="1" fontId="12" fillId="3" borderId="2" xfId="0" applyNumberFormat="1" applyFont="1" applyFill="1" applyBorder="1"/>
    <xf numFmtId="1" fontId="0" fillId="3" borderId="28" xfId="0" applyNumberFormat="1" applyFill="1" applyBorder="1"/>
    <xf numFmtId="1" fontId="0" fillId="3" borderId="46" xfId="0" applyNumberFormat="1" applyFill="1" applyBorder="1"/>
    <xf numFmtId="1" fontId="12" fillId="3" borderId="46" xfId="0" applyNumberFormat="1" applyFont="1" applyFill="1" applyBorder="1"/>
    <xf numFmtId="1" fontId="12" fillId="3" borderId="13" xfId="0" applyNumberFormat="1" applyFont="1" applyFill="1" applyBorder="1"/>
    <xf numFmtId="1" fontId="12" fillId="3" borderId="1" xfId="0" applyNumberFormat="1" applyFont="1" applyFill="1" applyBorder="1"/>
    <xf numFmtId="1" fontId="0" fillId="3" borderId="18" xfId="0" applyNumberFormat="1" applyFill="1" applyBorder="1"/>
    <xf numFmtId="1" fontId="12" fillId="3" borderId="4" xfId="0" applyNumberFormat="1" applyFont="1" applyFill="1" applyBorder="1"/>
    <xf numFmtId="1" fontId="12" fillId="3" borderId="31" xfId="0" applyNumberFormat="1" applyFont="1" applyFill="1" applyBorder="1"/>
    <xf numFmtId="1" fontId="0" fillId="3" borderId="31" xfId="0" applyNumberFormat="1" applyFill="1" applyBorder="1"/>
    <xf numFmtId="1" fontId="0" fillId="3" borderId="19" xfId="0" applyNumberFormat="1" applyFill="1" applyBorder="1"/>
    <xf numFmtId="1" fontId="0" fillId="3" borderId="17" xfId="0" applyNumberFormat="1" applyFill="1" applyBorder="1"/>
    <xf numFmtId="1" fontId="0" fillId="3" borderId="26" xfId="0" applyNumberFormat="1" applyFill="1" applyBorder="1"/>
    <xf numFmtId="1" fontId="12" fillId="3" borderId="28" xfId="0" applyNumberFormat="1" applyFont="1" applyFill="1" applyBorder="1"/>
    <xf numFmtId="1" fontId="11" fillId="3" borderId="4" xfId="0" applyNumberFormat="1" applyFont="1" applyFill="1" applyBorder="1"/>
    <xf numFmtId="1" fontId="11" fillId="3" borderId="1" xfId="0" applyNumberFormat="1" applyFont="1" applyFill="1" applyBorder="1"/>
    <xf numFmtId="1" fontId="11" fillId="3" borderId="13" xfId="0" applyNumberFormat="1" applyFont="1" applyFill="1" applyBorder="1"/>
    <xf numFmtId="1" fontId="11" fillId="3" borderId="2" xfId="0" applyNumberFormat="1" applyFont="1" applyFill="1" applyBorder="1"/>
    <xf numFmtId="1" fontId="1" fillId="3" borderId="33" xfId="0" applyNumberFormat="1" applyFont="1" applyFill="1" applyBorder="1"/>
    <xf numFmtId="1" fontId="1" fillId="3" borderId="6" xfId="0" applyNumberFormat="1" applyFont="1" applyFill="1" applyBorder="1"/>
    <xf numFmtId="1" fontId="1" fillId="3" borderId="34" xfId="0" applyNumberFormat="1" applyFont="1" applyFill="1" applyBorder="1"/>
    <xf numFmtId="1" fontId="11" fillId="3" borderId="49" xfId="0" applyNumberFormat="1" applyFont="1" applyFill="1" applyBorder="1"/>
    <xf numFmtId="1" fontId="11" fillId="3" borderId="6" xfId="0" applyNumberFormat="1" applyFont="1" applyFill="1" applyBorder="1"/>
    <xf numFmtId="1" fontId="11" fillId="3" borderId="14" xfId="0" applyNumberFormat="1" applyFont="1" applyFill="1" applyBorder="1"/>
    <xf numFmtId="1" fontId="1" fillId="3" borderId="23" xfId="0" applyNumberFormat="1" applyFont="1" applyFill="1" applyBorder="1"/>
    <xf numFmtId="1" fontId="1" fillId="3" borderId="11" xfId="0" applyNumberFormat="1" applyFont="1" applyFill="1" applyBorder="1"/>
    <xf numFmtId="1" fontId="1" fillId="3" borderId="12" xfId="0" applyNumberFormat="1" applyFont="1" applyFill="1" applyBorder="1"/>
    <xf numFmtId="1" fontId="1" fillId="3" borderId="1" xfId="0" applyNumberFormat="1" applyFont="1" applyFill="1" applyBorder="1"/>
    <xf numFmtId="1" fontId="1" fillId="3" borderId="13" xfId="0" applyNumberFormat="1" applyFont="1" applyFill="1" applyBorder="1"/>
    <xf numFmtId="1" fontId="1" fillId="3" borderId="28" xfId="0" applyNumberFormat="1" applyFont="1" applyFill="1" applyBorder="1"/>
    <xf numFmtId="1" fontId="1" fillId="3" borderId="46" xfId="0" applyNumberFormat="1" applyFont="1" applyFill="1" applyBorder="1"/>
    <xf numFmtId="1" fontId="1" fillId="3" borderId="14" xfId="0" applyNumberFormat="1" applyFont="1" applyFill="1" applyBorder="1"/>
    <xf numFmtId="1" fontId="1" fillId="3" borderId="56" xfId="0" applyNumberFormat="1" applyFont="1" applyFill="1" applyBorder="1"/>
    <xf numFmtId="1" fontId="11" fillId="3" borderId="31" xfId="0" applyNumberFormat="1" applyFont="1" applyFill="1" applyBorder="1"/>
    <xf numFmtId="1" fontId="1" fillId="3" borderId="31" xfId="0" applyNumberFormat="1" applyFont="1" applyFill="1" applyBorder="1"/>
    <xf numFmtId="1" fontId="1" fillId="3" borderId="40" xfId="0" applyNumberFormat="1" applyFont="1" applyFill="1" applyBorder="1"/>
    <xf numFmtId="1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/>
    <xf numFmtId="1" fontId="10" fillId="3" borderId="10" xfId="0" applyNumberFormat="1" applyFont="1" applyFill="1" applyBorder="1" applyAlignment="1">
      <alignment horizontal="right"/>
    </xf>
    <xf numFmtId="1" fontId="10" fillId="3" borderId="30" xfId="0" applyNumberFormat="1" applyFont="1" applyFill="1" applyBorder="1" applyAlignment="1">
      <alignment horizontal="right"/>
    </xf>
    <xf numFmtId="1" fontId="10" fillId="3" borderId="10" xfId="0" applyNumberFormat="1" applyFont="1" applyFill="1" applyBorder="1"/>
    <xf numFmtId="1" fontId="10" fillId="3" borderId="11" xfId="0" applyNumberFormat="1" applyFont="1" applyFill="1" applyBorder="1"/>
    <xf numFmtId="1" fontId="10" fillId="3" borderId="27" xfId="0" applyNumberFormat="1" applyFont="1" applyFill="1" applyBorder="1"/>
    <xf numFmtId="1" fontId="10" fillId="3" borderId="30" xfId="0" applyNumberFormat="1" applyFont="1" applyFill="1" applyBorder="1"/>
    <xf numFmtId="1" fontId="10" fillId="3" borderId="25" xfId="0" applyNumberFormat="1" applyFont="1" applyFill="1" applyBorder="1"/>
    <xf numFmtId="1" fontId="10" fillId="3" borderId="56" xfId="0" applyNumberFormat="1" applyFont="1" applyFill="1" applyBorder="1"/>
    <xf numFmtId="1" fontId="11" fillId="3" borderId="30" xfId="0" applyNumberFormat="1" applyFont="1" applyFill="1" applyBorder="1"/>
    <xf numFmtId="1" fontId="1" fillId="3" borderId="27" xfId="0" applyNumberFormat="1" applyFont="1" applyFill="1" applyBorder="1"/>
    <xf numFmtId="0" fontId="2" fillId="4" borderId="0" xfId="0" applyFont="1" applyFill="1"/>
    <xf numFmtId="0" fontId="2" fillId="4" borderId="15" xfId="0" applyFont="1" applyFill="1" applyBorder="1"/>
    <xf numFmtId="0" fontId="2" fillId="4" borderId="8" xfId="0" applyFont="1" applyFill="1" applyBorder="1"/>
    <xf numFmtId="0" fontId="1" fillId="4" borderId="1" xfId="0" applyFont="1" applyFill="1" applyBorder="1" applyAlignment="1">
      <alignment horizontal="right"/>
    </xf>
    <xf numFmtId="0" fontId="2" fillId="5" borderId="3" xfId="0" applyFont="1" applyFill="1" applyBorder="1"/>
    <xf numFmtId="0" fontId="2" fillId="5" borderId="0" xfId="0" applyFont="1" applyFill="1"/>
    <xf numFmtId="0" fontId="1" fillId="5" borderId="1" xfId="0" applyFont="1" applyFill="1" applyBorder="1"/>
    <xf numFmtId="1" fontId="1" fillId="3" borderId="49" xfId="0" applyNumberFormat="1" applyFont="1" applyFill="1" applyBorder="1"/>
    <xf numFmtId="1" fontId="0" fillId="3" borderId="0" xfId="0" applyNumberFormat="1" applyFill="1"/>
    <xf numFmtId="1" fontId="1" fillId="3" borderId="17" xfId="0" applyNumberFormat="1" applyFont="1" applyFill="1" applyBorder="1" applyAlignment="1">
      <alignment horizontal="right"/>
    </xf>
    <xf numFmtId="1" fontId="1" fillId="3" borderId="32" xfId="0" applyNumberFormat="1" applyFont="1" applyFill="1" applyBorder="1" applyAlignment="1">
      <alignment horizontal="right"/>
    </xf>
    <xf numFmtId="1" fontId="1" fillId="3" borderId="18" xfId="0" applyNumberFormat="1" applyFont="1" applyFill="1" applyBorder="1" applyAlignment="1">
      <alignment horizontal="right"/>
    </xf>
    <xf numFmtId="1" fontId="8" fillId="3" borderId="17" xfId="0" applyNumberFormat="1" applyFont="1" applyFill="1" applyBorder="1" applyAlignment="1">
      <alignment horizontal="left"/>
    </xf>
    <xf numFmtId="1" fontId="8" fillId="3" borderId="26" xfId="0" applyNumberFormat="1" applyFont="1" applyFill="1" applyBorder="1" applyAlignment="1">
      <alignment horizontal="left"/>
    </xf>
    <xf numFmtId="1" fontId="8" fillId="3" borderId="18" xfId="0" applyNumberFormat="1" applyFont="1" applyFill="1" applyBorder="1" applyAlignment="1">
      <alignment horizontal="left"/>
    </xf>
    <xf numFmtId="1" fontId="1" fillId="3" borderId="29" xfId="0" applyNumberFormat="1" applyFont="1" applyFill="1" applyBorder="1"/>
    <xf numFmtId="1" fontId="1" fillId="3" borderId="48" xfId="0" applyNumberFormat="1" applyFont="1" applyFill="1" applyBorder="1"/>
    <xf numFmtId="1" fontId="1" fillId="3" borderId="18" xfId="0" applyNumberFormat="1" applyFont="1" applyFill="1" applyBorder="1"/>
    <xf numFmtId="1" fontId="1" fillId="3" borderId="19" xfId="0" applyNumberFormat="1" applyFont="1" applyFill="1" applyBorder="1"/>
    <xf numFmtId="1" fontId="8" fillId="3" borderId="17" xfId="0" applyNumberFormat="1" applyFont="1" applyFill="1" applyBorder="1"/>
    <xf numFmtId="1" fontId="8" fillId="3" borderId="18" xfId="0" applyNumberFormat="1" applyFont="1" applyFill="1" applyBorder="1"/>
    <xf numFmtId="1" fontId="8" fillId="3" borderId="26" xfId="0" applyNumberFormat="1" applyFont="1" applyFill="1" applyBorder="1"/>
    <xf numFmtId="1" fontId="1" fillId="3" borderId="17" xfId="0" applyNumberFormat="1" applyFont="1" applyFill="1" applyBorder="1"/>
    <xf numFmtId="1" fontId="1" fillId="3" borderId="32" xfId="0" applyNumberFormat="1" applyFont="1" applyFill="1" applyBorder="1"/>
    <xf numFmtId="1" fontId="8" fillId="3" borderId="19" xfId="0" applyNumberFormat="1" applyFont="1" applyFill="1" applyBorder="1"/>
    <xf numFmtId="1" fontId="8" fillId="3" borderId="29" xfId="0" applyNumberFormat="1" applyFont="1" applyFill="1" applyBorder="1"/>
    <xf numFmtId="1" fontId="9" fillId="3" borderId="17" xfId="0" applyNumberFormat="1" applyFont="1" applyFill="1" applyBorder="1"/>
    <xf numFmtId="1" fontId="9" fillId="3" borderId="32" xfId="0" applyNumberFormat="1" applyFont="1" applyFill="1" applyBorder="1"/>
    <xf numFmtId="1" fontId="9" fillId="3" borderId="18" xfId="0" applyNumberFormat="1" applyFont="1" applyFill="1" applyBorder="1"/>
    <xf numFmtId="1" fontId="4" fillId="0" borderId="57" xfId="0" applyNumberFormat="1" applyFont="1" applyBorder="1" applyAlignment="1">
      <alignment horizontal="left" vertical="center" textRotation="90"/>
    </xf>
    <xf numFmtId="0" fontId="2" fillId="6" borderId="0" xfId="0" applyFont="1" applyFill="1" applyAlignment="1">
      <alignment horizontal="left"/>
    </xf>
    <xf numFmtId="0" fontId="2" fillId="6" borderId="15" xfId="0" applyFont="1" applyFill="1" applyBorder="1"/>
    <xf numFmtId="0" fontId="1" fillId="6" borderId="1" xfId="0" applyFont="1" applyFill="1" applyBorder="1"/>
    <xf numFmtId="1" fontId="0" fillId="0" borderId="58" xfId="0" applyNumberFormat="1" applyBorder="1"/>
    <xf numFmtId="1" fontId="0" fillId="3" borderId="59" xfId="0" applyNumberFormat="1" applyFill="1" applyBorder="1"/>
    <xf numFmtId="1" fontId="12" fillId="3" borderId="59" xfId="0" applyNumberFormat="1" applyFont="1" applyFill="1" applyBorder="1"/>
    <xf numFmtId="1" fontId="0" fillId="0" borderId="59" xfId="0" applyNumberFormat="1" applyBorder="1"/>
    <xf numFmtId="1" fontId="0" fillId="0" borderId="60" xfId="0" applyNumberFormat="1" applyBorder="1"/>
    <xf numFmtId="1" fontId="1" fillId="3" borderId="58" xfId="0" applyNumberFormat="1" applyFont="1" applyFill="1" applyBorder="1"/>
    <xf numFmtId="1" fontId="11" fillId="3" borderId="59" xfId="0" applyNumberFormat="1" applyFont="1" applyFill="1" applyBorder="1"/>
    <xf numFmtId="1" fontId="1" fillId="0" borderId="59" xfId="0" applyNumberFormat="1" applyFont="1" applyBorder="1"/>
    <xf numFmtId="1" fontId="1" fillId="3" borderId="59" xfId="0" applyNumberFormat="1" applyFont="1" applyFill="1" applyBorder="1"/>
    <xf numFmtId="1" fontId="1" fillId="3" borderId="60" xfId="0" applyNumberFormat="1" applyFont="1" applyFill="1" applyBorder="1"/>
    <xf numFmtId="1" fontId="1" fillId="0" borderId="58" xfId="0" applyNumberFormat="1" applyFont="1" applyBorder="1"/>
    <xf numFmtId="1" fontId="1" fillId="0" borderId="60" xfId="0" applyNumberFormat="1" applyFont="1" applyBorder="1"/>
    <xf numFmtId="1" fontId="4" fillId="0" borderId="61" xfId="0" applyNumberFormat="1" applyFont="1" applyBorder="1" applyAlignment="1">
      <alignment horizontal="left" vertical="center" textRotation="90"/>
    </xf>
    <xf numFmtId="0" fontId="1" fillId="7" borderId="0" xfId="0" applyFont="1" applyFill="1"/>
    <xf numFmtId="0" fontId="13" fillId="7" borderId="0" xfId="0" applyFont="1" applyFill="1"/>
    <xf numFmtId="0" fontId="4" fillId="0" borderId="10" xfId="0" applyFont="1" applyBorder="1" applyAlignment="1">
      <alignment horizontal="right" wrapText="1"/>
    </xf>
    <xf numFmtId="0" fontId="0" fillId="0" borderId="42" xfId="0" applyBorder="1"/>
    <xf numFmtId="0" fontId="2" fillId="0" borderId="12" xfId="0" applyFont="1" applyBorder="1" applyAlignment="1">
      <alignment horizontal="center" wrapText="1"/>
    </xf>
    <xf numFmtId="0" fontId="0" fillId="0" borderId="4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51"/>
  <sheetViews>
    <sheetView tabSelected="1" zoomScaleNormal="100" workbookViewId="0">
      <selection activeCell="J2" sqref="J2"/>
    </sheetView>
  </sheetViews>
  <sheetFormatPr defaultRowHeight="15" x14ac:dyDescent="0.25"/>
  <cols>
    <col min="1" max="1" width="20.85546875" customWidth="1"/>
    <col min="2" max="69" width="2.7109375" customWidth="1"/>
    <col min="70" max="70" width="20.140625" style="8" customWidth="1"/>
    <col min="71" max="71" width="8.140625" customWidth="1"/>
    <col min="72" max="72" width="22.7109375" customWidth="1"/>
    <col min="73" max="73" width="2" customWidth="1"/>
  </cols>
  <sheetData>
    <row r="1" spans="1:74" s="4" customFormat="1" ht="24" customHeight="1" thickBot="1" x14ac:dyDescent="0.4">
      <c r="A1" s="4" t="s">
        <v>0</v>
      </c>
      <c r="J1" s="4" t="s">
        <v>122</v>
      </c>
      <c r="R1" s="11"/>
    </row>
    <row r="2" spans="1:74" s="1" customFormat="1" ht="18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4" t="s">
        <v>2</v>
      </c>
      <c r="K2" s="15"/>
      <c r="L2" s="15"/>
      <c r="M2" s="15"/>
      <c r="N2" s="15"/>
      <c r="O2" s="15"/>
      <c r="P2" s="15"/>
      <c r="Q2" s="17"/>
      <c r="R2" s="16" t="s">
        <v>3</v>
      </c>
      <c r="S2" s="15"/>
      <c r="T2" s="15"/>
      <c r="U2" s="15"/>
      <c r="V2" s="15"/>
      <c r="W2" s="15"/>
      <c r="X2" s="15"/>
      <c r="Y2" s="15"/>
      <c r="Z2" s="15"/>
      <c r="AA2" s="15"/>
      <c r="AB2" s="14" t="s">
        <v>4</v>
      </c>
      <c r="AC2" s="15"/>
      <c r="AD2" s="15"/>
      <c r="AE2" s="15"/>
      <c r="AF2" s="15"/>
      <c r="AG2" s="15"/>
      <c r="AH2" s="15"/>
      <c r="AI2" s="15"/>
      <c r="AJ2" s="14" t="s">
        <v>5</v>
      </c>
      <c r="AK2" s="15"/>
      <c r="AL2" s="15"/>
      <c r="AM2" s="15"/>
      <c r="AN2" s="15"/>
      <c r="AO2" s="15"/>
      <c r="AP2" s="15"/>
      <c r="AQ2" s="17"/>
      <c r="AR2" s="14" t="s">
        <v>6</v>
      </c>
      <c r="AS2" s="15"/>
      <c r="AT2" s="15"/>
      <c r="AU2" s="15"/>
      <c r="AV2" s="15"/>
      <c r="AW2" s="15"/>
      <c r="AX2" s="15"/>
      <c r="AY2" s="15"/>
      <c r="AZ2" s="15"/>
      <c r="BA2" s="17"/>
      <c r="BB2" s="14" t="s">
        <v>7</v>
      </c>
      <c r="BC2" s="15"/>
      <c r="BD2" s="15"/>
      <c r="BE2" s="15"/>
      <c r="BF2" s="15"/>
      <c r="BG2" s="15"/>
      <c r="BH2" s="15"/>
      <c r="BI2" s="15"/>
      <c r="BJ2" s="14" t="s">
        <v>8</v>
      </c>
      <c r="BK2" s="15"/>
      <c r="BL2" s="15"/>
      <c r="BM2" s="15"/>
      <c r="BN2" s="15"/>
      <c r="BO2" s="15"/>
      <c r="BP2" s="15"/>
      <c r="BQ2" s="17"/>
      <c r="BS2" s="284" t="s">
        <v>9</v>
      </c>
      <c r="BT2" s="286" t="s">
        <v>10</v>
      </c>
    </row>
    <row r="3" spans="1:74" s="3" customFormat="1" ht="16.5" customHeight="1" thickBot="1" x14ac:dyDescent="0.35">
      <c r="A3" s="20" t="s">
        <v>11</v>
      </c>
      <c r="B3" s="43">
        <v>7</v>
      </c>
      <c r="C3" s="44">
        <v>8</v>
      </c>
      <c r="D3" s="44">
        <v>14</v>
      </c>
      <c r="E3" s="44">
        <v>15</v>
      </c>
      <c r="F3" s="44">
        <v>21</v>
      </c>
      <c r="G3" s="44">
        <v>22</v>
      </c>
      <c r="H3" s="44">
        <v>28</v>
      </c>
      <c r="I3" s="266">
        <v>29</v>
      </c>
      <c r="J3" s="240">
        <v>4</v>
      </c>
      <c r="K3" s="241">
        <v>5</v>
      </c>
      <c r="L3" s="3">
        <v>11</v>
      </c>
      <c r="M3" s="3">
        <v>12</v>
      </c>
      <c r="N3" s="3">
        <v>18</v>
      </c>
      <c r="O3" s="3">
        <v>19</v>
      </c>
      <c r="P3" s="236">
        <v>25</v>
      </c>
      <c r="Q3" s="237">
        <v>26</v>
      </c>
      <c r="R3" s="160">
        <v>2</v>
      </c>
      <c r="S3" s="161">
        <v>3</v>
      </c>
      <c r="T3" s="161">
        <v>9</v>
      </c>
      <c r="U3" s="161">
        <v>10</v>
      </c>
      <c r="V3" s="161">
        <v>16</v>
      </c>
      <c r="W3" s="161">
        <v>17</v>
      </c>
      <c r="X3" s="3">
        <v>23</v>
      </c>
      <c r="Y3" s="3">
        <v>24</v>
      </c>
      <c r="Z3" s="3">
        <v>30</v>
      </c>
      <c r="AA3" s="3">
        <v>31</v>
      </c>
      <c r="AB3" s="46">
        <v>6</v>
      </c>
      <c r="AC3" s="3">
        <v>7</v>
      </c>
      <c r="AD3" s="238">
        <v>13</v>
      </c>
      <c r="AE3" s="236">
        <v>14</v>
      </c>
      <c r="AF3" s="283">
        <v>20</v>
      </c>
      <c r="AG3" s="283">
        <v>21</v>
      </c>
      <c r="AH3" s="3">
        <v>27</v>
      </c>
      <c r="AI3" s="3">
        <v>28</v>
      </c>
      <c r="AJ3" s="46">
        <v>4</v>
      </c>
      <c r="AK3" s="3">
        <v>5</v>
      </c>
      <c r="AL3" s="3">
        <v>11</v>
      </c>
      <c r="AM3" s="3">
        <v>12</v>
      </c>
      <c r="AN3" s="3">
        <v>18</v>
      </c>
      <c r="AO3" s="3">
        <v>19</v>
      </c>
      <c r="AP3" s="3">
        <v>25</v>
      </c>
      <c r="AQ3" s="45">
        <v>26</v>
      </c>
      <c r="AR3" s="46">
        <v>1</v>
      </c>
      <c r="AS3" s="3">
        <v>2</v>
      </c>
      <c r="AT3" s="3">
        <v>8</v>
      </c>
      <c r="AU3" s="3">
        <v>9</v>
      </c>
      <c r="AV3" s="3">
        <v>15</v>
      </c>
      <c r="AW3" s="3">
        <v>16</v>
      </c>
      <c r="AX3" s="3">
        <v>22</v>
      </c>
      <c r="AY3" s="3">
        <v>23</v>
      </c>
      <c r="AZ3" s="3">
        <v>29</v>
      </c>
      <c r="BA3" s="45">
        <v>30</v>
      </c>
      <c r="BB3" s="46">
        <v>5</v>
      </c>
      <c r="BC3" s="3">
        <v>6</v>
      </c>
      <c r="BD3" s="149">
        <v>12</v>
      </c>
      <c r="BE3" s="3">
        <v>13</v>
      </c>
      <c r="BF3" s="3">
        <v>19</v>
      </c>
      <c r="BG3" s="3">
        <v>20</v>
      </c>
      <c r="BH3" s="161">
        <v>26</v>
      </c>
      <c r="BI3" s="161">
        <v>27</v>
      </c>
      <c r="BJ3" s="160">
        <v>3</v>
      </c>
      <c r="BK3" s="161">
        <v>4</v>
      </c>
      <c r="BL3" s="3">
        <v>10</v>
      </c>
      <c r="BM3" s="3">
        <v>11</v>
      </c>
      <c r="BN3" s="3">
        <v>17</v>
      </c>
      <c r="BO3" s="3">
        <v>18</v>
      </c>
      <c r="BP3" s="3">
        <v>24</v>
      </c>
      <c r="BQ3" s="267">
        <v>25</v>
      </c>
      <c r="BR3" s="12" t="s">
        <v>11</v>
      </c>
      <c r="BS3" s="285"/>
      <c r="BT3" s="287"/>
    </row>
    <row r="4" spans="1:74" x14ac:dyDescent="0.25">
      <c r="A4" s="19" t="s">
        <v>12</v>
      </c>
      <c r="B4" s="57">
        <v>1</v>
      </c>
      <c r="C4" s="58">
        <v>1</v>
      </c>
      <c r="D4" s="58"/>
      <c r="E4" s="58"/>
      <c r="F4" s="58"/>
      <c r="G4" s="58"/>
      <c r="H4" s="58"/>
      <c r="I4" s="59"/>
      <c r="J4" s="60"/>
      <c r="K4" s="61"/>
      <c r="L4" s="167"/>
      <c r="M4" s="168"/>
      <c r="N4" s="169"/>
      <c r="O4" s="170"/>
      <c r="P4" s="62">
        <v>1</v>
      </c>
      <c r="Q4" s="63">
        <v>1</v>
      </c>
      <c r="R4" s="64"/>
      <c r="S4" s="62"/>
      <c r="T4" s="62"/>
      <c r="U4" s="62"/>
      <c r="V4" s="62"/>
      <c r="W4" s="62"/>
      <c r="X4" s="62"/>
      <c r="Y4" s="61">
        <v>1</v>
      </c>
      <c r="Z4" s="61"/>
      <c r="AA4" s="63"/>
      <c r="AB4" s="60"/>
      <c r="AC4" s="62">
        <v>1</v>
      </c>
      <c r="AD4" s="159"/>
      <c r="AE4" s="269"/>
      <c r="AF4" s="64"/>
      <c r="AG4" s="64"/>
      <c r="AH4" s="64"/>
      <c r="AI4" s="62"/>
      <c r="AJ4" s="60"/>
      <c r="AK4" s="62">
        <v>1</v>
      </c>
      <c r="AL4" s="62"/>
      <c r="AM4" s="62"/>
      <c r="AN4" s="62"/>
      <c r="AO4" s="62">
        <v>1</v>
      </c>
      <c r="AP4" s="62"/>
      <c r="AQ4" s="63"/>
      <c r="AR4" s="60"/>
      <c r="AS4" s="62"/>
      <c r="AT4" s="62"/>
      <c r="AU4" s="62">
        <v>1</v>
      </c>
      <c r="AV4" s="62"/>
      <c r="AW4" s="62"/>
      <c r="AX4" s="62"/>
      <c r="AY4" s="62">
        <v>1</v>
      </c>
      <c r="AZ4" s="62"/>
      <c r="BA4" s="61"/>
      <c r="BB4" s="65"/>
      <c r="BC4" s="62"/>
      <c r="BD4" s="148"/>
      <c r="BE4" s="62">
        <v>1</v>
      </c>
      <c r="BF4" s="62"/>
      <c r="BG4" s="62"/>
      <c r="BH4" s="62"/>
      <c r="BI4" s="63">
        <v>1</v>
      </c>
      <c r="BJ4" s="60"/>
      <c r="BK4" s="64">
        <v>1</v>
      </c>
      <c r="BL4" s="64"/>
      <c r="BM4" s="64"/>
      <c r="BN4" s="62"/>
      <c r="BO4" s="62"/>
      <c r="BP4" s="62"/>
      <c r="BQ4" s="63"/>
      <c r="BR4" s="21" t="s">
        <v>12</v>
      </c>
      <c r="BS4" s="22">
        <f t="shared" ref="BS4:BS10" si="0">SUM(B4:BQ4)</f>
        <v>13</v>
      </c>
      <c r="BT4" s="30" t="s">
        <v>13</v>
      </c>
    </row>
    <row r="5" spans="1:74" x14ac:dyDescent="0.25">
      <c r="A5" s="19" t="s">
        <v>14</v>
      </c>
      <c r="B5" s="116"/>
      <c r="C5" s="171"/>
      <c r="D5" s="117"/>
      <c r="E5" s="117"/>
      <c r="F5" s="117"/>
      <c r="G5" s="117"/>
      <c r="H5" s="117"/>
      <c r="I5" s="118">
        <v>1</v>
      </c>
      <c r="J5" s="119"/>
      <c r="K5" s="120"/>
      <c r="L5" s="66"/>
      <c r="M5" s="120">
        <v>1</v>
      </c>
      <c r="N5" s="121"/>
      <c r="O5" s="122"/>
      <c r="P5" s="164"/>
      <c r="Q5" s="165"/>
      <c r="R5" s="124"/>
      <c r="S5" s="66">
        <v>1</v>
      </c>
      <c r="T5" s="66"/>
      <c r="U5" s="66"/>
      <c r="V5" s="66"/>
      <c r="W5" s="66"/>
      <c r="X5" s="164"/>
      <c r="Y5" s="120"/>
      <c r="Z5" s="120"/>
      <c r="AA5" s="123"/>
      <c r="AB5" s="119"/>
      <c r="AC5" s="66"/>
      <c r="AD5" s="197"/>
      <c r="AE5" s="270"/>
      <c r="AF5" s="124"/>
      <c r="AG5" s="124">
        <v>1</v>
      </c>
      <c r="AH5" s="124"/>
      <c r="AI5" s="66"/>
      <c r="AJ5" s="163"/>
      <c r="AK5" s="164"/>
      <c r="AL5" s="164"/>
      <c r="AM5" s="164"/>
      <c r="AN5" s="164"/>
      <c r="AO5" s="164"/>
      <c r="AP5" s="164"/>
      <c r="AQ5" s="165"/>
      <c r="AR5" s="163"/>
      <c r="AS5" s="164"/>
      <c r="AT5" s="164"/>
      <c r="AU5" s="164"/>
      <c r="AV5" s="164"/>
      <c r="AW5" s="164"/>
      <c r="AX5" s="164"/>
      <c r="AY5" s="164"/>
      <c r="AZ5" s="164"/>
      <c r="BA5" s="166"/>
      <c r="BB5" s="121">
        <v>1</v>
      </c>
      <c r="BC5" s="66">
        <v>1</v>
      </c>
      <c r="BD5" s="66"/>
      <c r="BE5" s="66"/>
      <c r="BF5" s="66"/>
      <c r="BG5" s="66"/>
      <c r="BH5" s="66"/>
      <c r="BI5" s="123"/>
      <c r="BJ5" s="119"/>
      <c r="BK5" s="124"/>
      <c r="BL5" s="124"/>
      <c r="BM5" s="124">
        <v>1</v>
      </c>
      <c r="BN5" s="66"/>
      <c r="BO5" s="66"/>
      <c r="BP5" s="66"/>
      <c r="BQ5" s="123">
        <v>1</v>
      </c>
      <c r="BR5" s="21" t="s">
        <v>15</v>
      </c>
      <c r="BS5" s="22">
        <f t="shared" si="0"/>
        <v>8</v>
      </c>
      <c r="BT5" s="30"/>
    </row>
    <row r="6" spans="1:74" s="56" customFormat="1" x14ac:dyDescent="0.25">
      <c r="A6" s="52" t="s">
        <v>16</v>
      </c>
      <c r="B6" s="67"/>
      <c r="C6" s="172"/>
      <c r="D6" s="68"/>
      <c r="E6" s="172"/>
      <c r="F6" s="68"/>
      <c r="G6" s="172"/>
      <c r="H6" s="68"/>
      <c r="I6" s="187"/>
      <c r="J6" s="69"/>
      <c r="K6" s="188"/>
      <c r="L6" s="70"/>
      <c r="M6" s="188"/>
      <c r="N6" s="72">
        <v>1</v>
      </c>
      <c r="O6" s="191"/>
      <c r="P6" s="70"/>
      <c r="Q6" s="192"/>
      <c r="R6" s="71">
        <v>1</v>
      </c>
      <c r="S6" s="193"/>
      <c r="T6" s="70"/>
      <c r="U6" s="193"/>
      <c r="V6" s="70"/>
      <c r="W6" s="193"/>
      <c r="X6" s="70">
        <v>1</v>
      </c>
      <c r="Y6" s="188"/>
      <c r="Z6" s="188"/>
      <c r="AA6" s="192"/>
      <c r="AB6" s="69">
        <v>1</v>
      </c>
      <c r="AC6" s="193"/>
      <c r="AD6" s="71"/>
      <c r="AE6" s="271"/>
      <c r="AF6" s="71">
        <v>1</v>
      </c>
      <c r="AG6" s="196"/>
      <c r="AH6" s="71">
        <v>1</v>
      </c>
      <c r="AI6" s="193"/>
      <c r="AJ6" s="69"/>
      <c r="AK6" s="193"/>
      <c r="AL6" s="70"/>
      <c r="AM6" s="193"/>
      <c r="AN6" s="70">
        <v>1</v>
      </c>
      <c r="AO6" s="193"/>
      <c r="AP6" s="70"/>
      <c r="AQ6" s="192"/>
      <c r="AR6" s="69">
        <v>1</v>
      </c>
      <c r="AS6" s="193"/>
      <c r="AT6" s="70"/>
      <c r="AU6" s="193"/>
      <c r="AV6" s="70"/>
      <c r="AW6" s="193"/>
      <c r="AX6" s="70">
        <v>1</v>
      </c>
      <c r="AY6" s="193"/>
      <c r="AZ6" s="70"/>
      <c r="BA6" s="188"/>
      <c r="BB6" s="201"/>
      <c r="BC6" s="193"/>
      <c r="BD6" s="70">
        <v>1</v>
      </c>
      <c r="BE6" s="193"/>
      <c r="BF6" s="70"/>
      <c r="BG6" s="193"/>
      <c r="BH6" s="70"/>
      <c r="BI6" s="192"/>
      <c r="BJ6" s="69">
        <v>1</v>
      </c>
      <c r="BK6" s="196"/>
      <c r="BL6" s="196"/>
      <c r="BM6" s="196"/>
      <c r="BN6" s="193"/>
      <c r="BO6" s="193"/>
      <c r="BP6" s="70">
        <v>1</v>
      </c>
      <c r="BQ6" s="192"/>
      <c r="BR6" s="54" t="s">
        <v>16</v>
      </c>
      <c r="BS6" s="53">
        <f t="shared" si="0"/>
        <v>12</v>
      </c>
      <c r="BT6" s="55" t="s">
        <v>17</v>
      </c>
    </row>
    <row r="7" spans="1:74" x14ac:dyDescent="0.25">
      <c r="A7" s="19" t="s">
        <v>18</v>
      </c>
      <c r="B7" s="67"/>
      <c r="C7" s="172"/>
      <c r="D7" s="68"/>
      <c r="E7" s="172"/>
      <c r="F7" s="172"/>
      <c r="G7" s="172"/>
      <c r="H7" s="68">
        <v>1</v>
      </c>
      <c r="I7" s="187"/>
      <c r="J7" s="69"/>
      <c r="K7" s="188"/>
      <c r="L7" s="70">
        <v>1</v>
      </c>
      <c r="M7" s="188"/>
      <c r="N7" s="72"/>
      <c r="O7" s="191"/>
      <c r="P7" s="70"/>
      <c r="Q7" s="192"/>
      <c r="R7" s="71"/>
      <c r="S7" s="193"/>
      <c r="T7" s="70">
        <v>1</v>
      </c>
      <c r="U7" s="193"/>
      <c r="V7" s="70"/>
      <c r="W7" s="193"/>
      <c r="X7" s="70"/>
      <c r="Y7" s="188"/>
      <c r="Z7" s="147"/>
      <c r="AA7" s="192"/>
      <c r="AB7" s="195"/>
      <c r="AC7" s="193"/>
      <c r="AD7" s="196"/>
      <c r="AE7" s="271"/>
      <c r="AF7" s="196"/>
      <c r="AG7" s="196"/>
      <c r="AH7" s="196"/>
      <c r="AI7" s="193"/>
      <c r="AJ7" s="69">
        <v>1</v>
      </c>
      <c r="AK7" s="193"/>
      <c r="AL7" s="70">
        <v>1</v>
      </c>
      <c r="AM7" s="193"/>
      <c r="AN7" s="70"/>
      <c r="AO7" s="193"/>
      <c r="AP7" s="70">
        <v>1</v>
      </c>
      <c r="AQ7" s="192"/>
      <c r="AR7" s="69"/>
      <c r="AS7" s="193"/>
      <c r="AT7" s="70">
        <v>1</v>
      </c>
      <c r="AU7" s="193"/>
      <c r="AV7" s="70"/>
      <c r="AW7" s="193"/>
      <c r="AX7" s="70"/>
      <c r="AY7" s="193"/>
      <c r="AZ7" s="70">
        <v>1</v>
      </c>
      <c r="BA7" s="188"/>
      <c r="BB7" s="72"/>
      <c r="BC7" s="193"/>
      <c r="BD7" s="70"/>
      <c r="BE7" s="193"/>
      <c r="BF7" s="70">
        <v>1</v>
      </c>
      <c r="BG7" s="193"/>
      <c r="BH7" s="70">
        <v>1</v>
      </c>
      <c r="BI7" s="192"/>
      <c r="BJ7" s="69"/>
      <c r="BK7" s="196"/>
      <c r="BL7" s="71">
        <v>1</v>
      </c>
      <c r="BM7" s="196"/>
      <c r="BN7" s="70">
        <v>1</v>
      </c>
      <c r="BO7" s="193"/>
      <c r="BP7" s="70"/>
      <c r="BQ7" s="192"/>
      <c r="BR7" s="21" t="s">
        <v>18</v>
      </c>
      <c r="BS7" s="22">
        <f t="shared" si="0"/>
        <v>12</v>
      </c>
      <c r="BT7" s="30" t="s">
        <v>17</v>
      </c>
    </row>
    <row r="8" spans="1:74" x14ac:dyDescent="0.25">
      <c r="A8" s="19" t="s">
        <v>19</v>
      </c>
      <c r="B8" s="173"/>
      <c r="C8" s="171"/>
      <c r="D8" s="117"/>
      <c r="E8" s="117"/>
      <c r="F8" s="117"/>
      <c r="G8" s="117"/>
      <c r="H8" s="117"/>
      <c r="I8" s="118"/>
      <c r="J8" s="163"/>
      <c r="K8" s="166"/>
      <c r="L8" s="66"/>
      <c r="M8" s="120"/>
      <c r="N8" s="189"/>
      <c r="O8" s="190"/>
      <c r="P8" s="164"/>
      <c r="Q8" s="165"/>
      <c r="R8" s="124"/>
      <c r="S8" s="66"/>
      <c r="T8" s="66"/>
      <c r="U8" s="66">
        <v>1</v>
      </c>
      <c r="V8" s="66">
        <v>1</v>
      </c>
      <c r="W8" s="66"/>
      <c r="X8" s="164"/>
      <c r="Y8" s="166"/>
      <c r="Z8" s="120"/>
      <c r="AA8" s="123"/>
      <c r="AB8" s="119"/>
      <c r="AC8" s="66"/>
      <c r="AD8" s="124"/>
      <c r="AE8" s="272"/>
      <c r="AF8" s="124"/>
      <c r="AG8" s="124"/>
      <c r="AH8" s="124"/>
      <c r="AI8" s="66">
        <v>1</v>
      </c>
      <c r="AJ8" s="119"/>
      <c r="AK8" s="66"/>
      <c r="AL8" s="66"/>
      <c r="AM8" s="66"/>
      <c r="AN8" s="164"/>
      <c r="AO8" s="164"/>
      <c r="AP8" s="66"/>
      <c r="AQ8" s="123">
        <v>1</v>
      </c>
      <c r="AR8" s="119"/>
      <c r="AS8" s="66">
        <v>1</v>
      </c>
      <c r="AT8" s="66"/>
      <c r="AU8" s="66"/>
      <c r="AV8" s="66"/>
      <c r="AW8" s="66"/>
      <c r="AX8" s="66"/>
      <c r="AY8" s="66"/>
      <c r="AZ8" s="66"/>
      <c r="BA8" s="120"/>
      <c r="BB8" s="121"/>
      <c r="BC8" s="66"/>
      <c r="BD8" s="66"/>
      <c r="BE8" s="66"/>
      <c r="BF8" s="66"/>
      <c r="BG8" s="66"/>
      <c r="BH8" s="66"/>
      <c r="BI8" s="123"/>
      <c r="BJ8" s="119"/>
      <c r="BK8" s="124"/>
      <c r="BL8" s="197"/>
      <c r="BM8" s="197"/>
      <c r="BN8" s="164"/>
      <c r="BO8" s="164"/>
      <c r="BP8" s="66"/>
      <c r="BQ8" s="123"/>
      <c r="BR8" s="21" t="s">
        <v>20</v>
      </c>
      <c r="BS8" s="22">
        <f t="shared" si="0"/>
        <v>5</v>
      </c>
      <c r="BT8" s="30"/>
    </row>
    <row r="9" spans="1:74" x14ac:dyDescent="0.25">
      <c r="A9" s="19" t="s">
        <v>21</v>
      </c>
      <c r="B9" s="173"/>
      <c r="C9" s="171"/>
      <c r="D9" s="117">
        <v>1</v>
      </c>
      <c r="E9" s="117">
        <v>1</v>
      </c>
      <c r="F9" s="117"/>
      <c r="G9" s="117"/>
      <c r="H9" s="117"/>
      <c r="I9" s="118"/>
      <c r="J9" s="119">
        <v>1</v>
      </c>
      <c r="K9" s="120">
        <v>1</v>
      </c>
      <c r="L9" s="66"/>
      <c r="M9" s="120"/>
      <c r="N9" s="121"/>
      <c r="O9" s="122"/>
      <c r="P9" s="66"/>
      <c r="Q9" s="123"/>
      <c r="R9" s="124"/>
      <c r="S9" s="66"/>
      <c r="T9" s="66"/>
      <c r="U9" s="66"/>
      <c r="V9" s="66"/>
      <c r="W9" s="66">
        <v>1</v>
      </c>
      <c r="X9" s="66"/>
      <c r="Y9" s="120"/>
      <c r="Z9" s="120"/>
      <c r="AA9" s="123"/>
      <c r="AB9" s="119"/>
      <c r="AC9" s="66"/>
      <c r="AD9" s="124">
        <v>1</v>
      </c>
      <c r="AE9" s="272">
        <v>1</v>
      </c>
      <c r="AF9" s="124"/>
      <c r="AG9" s="124"/>
      <c r="AH9" s="124"/>
      <c r="AI9" s="66"/>
      <c r="AJ9" s="119"/>
      <c r="AK9" s="66"/>
      <c r="AL9" s="66"/>
      <c r="AM9" s="66">
        <v>1</v>
      </c>
      <c r="AN9" s="66"/>
      <c r="AO9" s="66"/>
      <c r="AP9" s="66"/>
      <c r="AQ9" s="123"/>
      <c r="AR9" s="119"/>
      <c r="AS9" s="66"/>
      <c r="AT9" s="66"/>
      <c r="AU9" s="66"/>
      <c r="AV9" s="66">
        <v>1</v>
      </c>
      <c r="AW9" s="66">
        <v>1</v>
      </c>
      <c r="AX9" s="66"/>
      <c r="AY9" s="66"/>
      <c r="AZ9" s="66"/>
      <c r="BA9" s="120">
        <v>1</v>
      </c>
      <c r="BB9" s="121"/>
      <c r="BC9" s="66"/>
      <c r="BD9" s="66"/>
      <c r="BE9" s="66"/>
      <c r="BF9" s="66"/>
      <c r="BG9" s="66">
        <v>1</v>
      </c>
      <c r="BH9" s="164"/>
      <c r="BI9" s="165"/>
      <c r="BJ9" s="119"/>
      <c r="BK9" s="124"/>
      <c r="BL9" s="124"/>
      <c r="BM9" s="124"/>
      <c r="BN9" s="66"/>
      <c r="BO9" s="66">
        <v>1</v>
      </c>
      <c r="BP9" s="66"/>
      <c r="BQ9" s="123"/>
      <c r="BR9" s="21" t="s">
        <v>21</v>
      </c>
      <c r="BS9" s="22">
        <f t="shared" si="0"/>
        <v>13</v>
      </c>
      <c r="BT9" s="30" t="s">
        <v>13</v>
      </c>
    </row>
    <row r="10" spans="1:74" ht="15.75" customHeight="1" thickBot="1" x14ac:dyDescent="0.3">
      <c r="A10" s="19" t="s">
        <v>22</v>
      </c>
      <c r="B10" s="125"/>
      <c r="C10" s="126"/>
      <c r="D10" s="174"/>
      <c r="E10" s="174"/>
      <c r="F10" s="126">
        <v>1</v>
      </c>
      <c r="G10" s="126">
        <v>1</v>
      </c>
      <c r="H10" s="126"/>
      <c r="I10" s="127"/>
      <c r="J10" s="128"/>
      <c r="K10" s="129"/>
      <c r="L10" s="130"/>
      <c r="M10" s="129"/>
      <c r="N10" s="131"/>
      <c r="O10" s="132">
        <v>1</v>
      </c>
      <c r="P10" s="130"/>
      <c r="Q10" s="133"/>
      <c r="R10" s="134"/>
      <c r="S10" s="130"/>
      <c r="T10" s="194"/>
      <c r="U10" s="194"/>
      <c r="V10" s="194"/>
      <c r="W10" s="194"/>
      <c r="X10" s="130"/>
      <c r="Y10" s="129"/>
      <c r="Z10" s="129">
        <v>1</v>
      </c>
      <c r="AA10" s="133">
        <v>1</v>
      </c>
      <c r="AB10" s="128"/>
      <c r="AC10" s="130"/>
      <c r="AD10" s="130"/>
      <c r="AE10" s="273"/>
      <c r="AF10" s="134"/>
      <c r="AG10" s="134"/>
      <c r="AH10" s="134"/>
      <c r="AI10" s="130"/>
      <c r="AJ10" s="128"/>
      <c r="AK10" s="130"/>
      <c r="AL10" s="194"/>
      <c r="AM10" s="194"/>
      <c r="AN10" s="194"/>
      <c r="AO10" s="194"/>
      <c r="AP10" s="194"/>
      <c r="AQ10" s="198"/>
      <c r="AR10" s="199"/>
      <c r="AS10" s="194"/>
      <c r="AT10" s="194"/>
      <c r="AU10" s="194"/>
      <c r="AV10" s="194"/>
      <c r="AW10" s="194"/>
      <c r="AX10" s="194"/>
      <c r="AY10" s="194"/>
      <c r="AZ10" s="194"/>
      <c r="BA10" s="200"/>
      <c r="BB10" s="131"/>
      <c r="BC10" s="130"/>
      <c r="BD10" s="130"/>
      <c r="BE10" s="130"/>
      <c r="BF10" s="130"/>
      <c r="BG10" s="130"/>
      <c r="BH10" s="130"/>
      <c r="BI10" s="133"/>
      <c r="BJ10" s="128"/>
      <c r="BK10" s="134"/>
      <c r="BL10" s="134"/>
      <c r="BM10" s="134"/>
      <c r="BN10" s="130"/>
      <c r="BO10" s="130"/>
      <c r="BP10" s="130"/>
      <c r="BQ10" s="133"/>
      <c r="BR10" s="21" t="s">
        <v>23</v>
      </c>
      <c r="BS10" s="23">
        <f t="shared" si="0"/>
        <v>5</v>
      </c>
      <c r="BT10" s="31" t="s">
        <v>13</v>
      </c>
    </row>
    <row r="11" spans="1:74" s="1" customFormat="1" x14ac:dyDescent="0.25">
      <c r="M11" s="1" t="s">
        <v>24</v>
      </c>
      <c r="N11" s="32" t="s">
        <v>25</v>
      </c>
      <c r="O11" s="15"/>
      <c r="AE11" s="155" t="s">
        <v>24</v>
      </c>
      <c r="AF11" s="158" t="s">
        <v>25</v>
      </c>
      <c r="AI11" s="2"/>
      <c r="AQ11" s="2"/>
      <c r="AS11" s="33"/>
      <c r="AT11" s="34"/>
      <c r="AU11" s="33"/>
      <c r="AV11" s="33"/>
      <c r="BA11" s="2" t="s">
        <v>24</v>
      </c>
      <c r="BB11" s="50" t="s">
        <v>25</v>
      </c>
      <c r="BR11" s="20"/>
    </row>
    <row r="12" spans="1:74" s="1" customFormat="1" ht="15.75" customHeight="1" thickBot="1" x14ac:dyDescent="0.3">
      <c r="A12" s="20" t="s">
        <v>26</v>
      </c>
      <c r="B12" s="20"/>
      <c r="C12" s="20"/>
      <c r="D12" s="20"/>
      <c r="E12" s="20"/>
      <c r="F12" s="20"/>
      <c r="G12" s="20"/>
      <c r="H12" s="20"/>
      <c r="I12" s="20"/>
      <c r="J12" s="12"/>
      <c r="K12" s="12"/>
      <c r="L12" s="12"/>
      <c r="M12" s="2"/>
      <c r="N12" s="50"/>
      <c r="O12" s="145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D12" s="145"/>
      <c r="AE12" s="156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32"/>
      <c r="BR12" s="12" t="s">
        <v>26</v>
      </c>
    </row>
    <row r="13" spans="1:74" x14ac:dyDescent="0.25">
      <c r="A13" s="19" t="s">
        <v>27</v>
      </c>
      <c r="B13" s="175"/>
      <c r="C13" s="176"/>
      <c r="D13" s="176"/>
      <c r="E13" s="176"/>
      <c r="F13" s="176"/>
      <c r="G13" s="176"/>
      <c r="H13" s="176"/>
      <c r="I13" s="177"/>
      <c r="J13" s="73"/>
      <c r="K13" s="74">
        <v>1</v>
      </c>
      <c r="L13" s="75"/>
      <c r="M13" s="74"/>
      <c r="N13" s="78">
        <v>1</v>
      </c>
      <c r="O13" s="146">
        <v>1</v>
      </c>
      <c r="P13" s="213"/>
      <c r="Q13" s="214"/>
      <c r="R13" s="73"/>
      <c r="S13" s="75"/>
      <c r="T13" s="75"/>
      <c r="U13" s="75"/>
      <c r="V13" s="75"/>
      <c r="W13" s="75"/>
      <c r="X13" s="75"/>
      <c r="Y13" s="74"/>
      <c r="Z13" s="74"/>
      <c r="AA13" s="76"/>
      <c r="AB13" s="73"/>
      <c r="AC13" s="75">
        <v>1</v>
      </c>
      <c r="AD13" s="220"/>
      <c r="AE13" s="274"/>
      <c r="AF13" s="77">
        <v>1</v>
      </c>
      <c r="AG13" s="77">
        <v>1</v>
      </c>
      <c r="AH13" s="77"/>
      <c r="AI13" s="75"/>
      <c r="AJ13" s="73"/>
      <c r="AK13" s="75"/>
      <c r="AL13" s="75"/>
      <c r="AM13" s="75"/>
      <c r="AN13" s="75"/>
      <c r="AO13" s="75">
        <v>1</v>
      </c>
      <c r="AP13" s="75"/>
      <c r="AQ13" s="76"/>
      <c r="AR13" s="73"/>
      <c r="AS13" s="75">
        <v>1</v>
      </c>
      <c r="AT13" s="75"/>
      <c r="AU13" s="75"/>
      <c r="AV13" s="75"/>
      <c r="AW13" s="75"/>
      <c r="AX13" s="75"/>
      <c r="AY13" s="75">
        <v>1</v>
      </c>
      <c r="AZ13" s="75"/>
      <c r="BA13" s="74">
        <v>1</v>
      </c>
      <c r="BB13" s="78"/>
      <c r="BC13" s="75"/>
      <c r="BD13" s="75"/>
      <c r="BE13" s="75"/>
      <c r="BF13" s="75"/>
      <c r="BG13" s="75">
        <v>1</v>
      </c>
      <c r="BH13" s="75"/>
      <c r="BI13" s="76"/>
      <c r="BJ13" s="73"/>
      <c r="BK13" s="77"/>
      <c r="BL13" s="77"/>
      <c r="BM13" s="77">
        <v>1</v>
      </c>
      <c r="BN13" s="75"/>
      <c r="BO13" s="75"/>
      <c r="BP13" s="75"/>
      <c r="BQ13" s="76"/>
      <c r="BR13" s="21" t="s">
        <v>27</v>
      </c>
      <c r="BS13" s="24">
        <f t="shared" ref="BS13:BS21" si="1">SUM(B13:BQ13)</f>
        <v>12</v>
      </c>
      <c r="BT13" s="29"/>
    </row>
    <row r="14" spans="1:74" x14ac:dyDescent="0.25">
      <c r="A14" s="19" t="s">
        <v>14</v>
      </c>
      <c r="B14" s="111"/>
      <c r="C14" s="180"/>
      <c r="D14" s="112"/>
      <c r="E14" s="112">
        <v>1</v>
      </c>
      <c r="F14" s="112"/>
      <c r="G14" s="112"/>
      <c r="H14" s="112"/>
      <c r="I14" s="113"/>
      <c r="J14" s="109"/>
      <c r="K14" s="110"/>
      <c r="L14" s="79"/>
      <c r="M14" s="110"/>
      <c r="N14" s="81"/>
      <c r="O14" s="114"/>
      <c r="P14" s="203"/>
      <c r="Q14" s="204"/>
      <c r="R14" s="109"/>
      <c r="S14" s="79"/>
      <c r="T14" s="79"/>
      <c r="U14" s="79"/>
      <c r="V14" s="79"/>
      <c r="W14" s="79"/>
      <c r="X14" s="203"/>
      <c r="Y14" s="110">
        <v>1</v>
      </c>
      <c r="Z14" s="110"/>
      <c r="AA14" s="115"/>
      <c r="AB14" s="109"/>
      <c r="AC14" s="79"/>
      <c r="AD14" s="221"/>
      <c r="AE14" s="275"/>
      <c r="AF14" s="80"/>
      <c r="AG14" s="80"/>
      <c r="AH14" s="80"/>
      <c r="AI14" s="79">
        <v>1</v>
      </c>
      <c r="AJ14" s="202"/>
      <c r="AK14" s="203"/>
      <c r="AL14" s="203"/>
      <c r="AM14" s="203"/>
      <c r="AN14" s="203"/>
      <c r="AO14" s="203"/>
      <c r="AP14" s="203"/>
      <c r="AQ14" s="204"/>
      <c r="AR14" s="202"/>
      <c r="AS14" s="203"/>
      <c r="AT14" s="203"/>
      <c r="AU14" s="203"/>
      <c r="AV14" s="203"/>
      <c r="AW14" s="203"/>
      <c r="AX14" s="203"/>
      <c r="AY14" s="203"/>
      <c r="AZ14" s="203"/>
      <c r="BA14" s="205"/>
      <c r="BB14" s="81"/>
      <c r="BC14" s="79"/>
      <c r="BD14" s="79">
        <v>1</v>
      </c>
      <c r="BE14" s="79">
        <v>1</v>
      </c>
      <c r="BF14" s="79"/>
      <c r="BG14" s="79"/>
      <c r="BH14" s="79"/>
      <c r="BI14" s="115"/>
      <c r="BJ14" s="109"/>
      <c r="BK14" s="80"/>
      <c r="BL14" s="80"/>
      <c r="BM14" s="80"/>
      <c r="BN14" s="79"/>
      <c r="BO14" s="79"/>
      <c r="BP14" s="79"/>
      <c r="BQ14" s="115"/>
      <c r="BR14" s="21" t="s">
        <v>15</v>
      </c>
      <c r="BS14" s="22">
        <f t="shared" si="1"/>
        <v>5</v>
      </c>
      <c r="BT14" s="30"/>
    </row>
    <row r="15" spans="1:74" x14ac:dyDescent="0.25">
      <c r="A15" s="19" t="s">
        <v>19</v>
      </c>
      <c r="B15" s="178"/>
      <c r="C15" s="179"/>
      <c r="D15" s="82"/>
      <c r="E15" s="82"/>
      <c r="F15" s="82"/>
      <c r="G15" s="82"/>
      <c r="H15" s="82"/>
      <c r="I15" s="83">
        <v>1</v>
      </c>
      <c r="J15" s="185"/>
      <c r="K15" s="186"/>
      <c r="L15" s="86">
        <v>1</v>
      </c>
      <c r="M15" s="85"/>
      <c r="N15" s="217"/>
      <c r="O15" s="218"/>
      <c r="P15" s="215"/>
      <c r="Q15" s="216"/>
      <c r="R15" s="84">
        <v>1</v>
      </c>
      <c r="S15" s="86"/>
      <c r="T15" s="86"/>
      <c r="U15" s="86"/>
      <c r="V15" s="86"/>
      <c r="W15" s="86"/>
      <c r="X15" s="215"/>
      <c r="Y15" s="186"/>
      <c r="Z15" s="85">
        <v>1</v>
      </c>
      <c r="AA15" s="108"/>
      <c r="AB15" s="84"/>
      <c r="AC15" s="86"/>
      <c r="AD15" s="88"/>
      <c r="AE15" s="276"/>
      <c r="AF15" s="88"/>
      <c r="AG15" s="88"/>
      <c r="AH15" s="88"/>
      <c r="AI15" s="86"/>
      <c r="AJ15" s="84">
        <v>1</v>
      </c>
      <c r="AK15" s="86"/>
      <c r="AL15" s="86"/>
      <c r="AM15" s="86"/>
      <c r="AN15" s="215"/>
      <c r="AO15" s="215"/>
      <c r="AP15" s="86"/>
      <c r="AQ15" s="108"/>
      <c r="AR15" s="84"/>
      <c r="AS15" s="86"/>
      <c r="AT15" s="86"/>
      <c r="AU15" s="86">
        <v>1</v>
      </c>
      <c r="AV15" s="86"/>
      <c r="AW15" s="86"/>
      <c r="AX15" s="86"/>
      <c r="AY15" s="86"/>
      <c r="AZ15" s="86"/>
      <c r="BA15" s="85"/>
      <c r="BB15" s="87"/>
      <c r="BC15" s="86"/>
      <c r="BD15" s="86"/>
      <c r="BE15" s="86"/>
      <c r="BF15" s="86"/>
      <c r="BG15" s="86"/>
      <c r="BH15" s="86"/>
      <c r="BI15" s="108"/>
      <c r="BJ15" s="84">
        <v>1</v>
      </c>
      <c r="BK15" s="88"/>
      <c r="BL15" s="221"/>
      <c r="BM15" s="221"/>
      <c r="BN15" s="203"/>
      <c r="BO15" s="203"/>
      <c r="BP15" s="86">
        <v>1</v>
      </c>
      <c r="BQ15" s="108"/>
      <c r="BR15" s="21" t="s">
        <v>20</v>
      </c>
      <c r="BS15" s="22">
        <f t="shared" si="1"/>
        <v>8</v>
      </c>
      <c r="BT15" s="30"/>
      <c r="BV15" s="1"/>
    </row>
    <row r="16" spans="1:74" x14ac:dyDescent="0.25">
      <c r="A16" s="19" t="s">
        <v>28</v>
      </c>
      <c r="B16" s="178"/>
      <c r="C16" s="179"/>
      <c r="D16" s="82"/>
      <c r="E16" s="82"/>
      <c r="F16" s="82"/>
      <c r="G16" s="82"/>
      <c r="H16" s="82">
        <v>1</v>
      </c>
      <c r="I16" s="83"/>
      <c r="J16" s="185"/>
      <c r="K16" s="186"/>
      <c r="L16" s="86"/>
      <c r="M16" s="85">
        <v>1</v>
      </c>
      <c r="N16" s="217"/>
      <c r="O16" s="218"/>
      <c r="P16" s="215"/>
      <c r="Q16" s="216"/>
      <c r="R16" s="84"/>
      <c r="S16" s="86">
        <v>1</v>
      </c>
      <c r="T16" s="86">
        <v>1</v>
      </c>
      <c r="U16" s="86"/>
      <c r="V16" s="86"/>
      <c r="W16" s="86">
        <v>1</v>
      </c>
      <c r="X16" s="215"/>
      <c r="Y16" s="186"/>
      <c r="Z16" s="85"/>
      <c r="AA16" s="108">
        <v>1</v>
      </c>
      <c r="AB16" s="84"/>
      <c r="AC16" s="86"/>
      <c r="AD16" s="88"/>
      <c r="AE16" s="276"/>
      <c r="AF16" s="88"/>
      <c r="AG16" s="88"/>
      <c r="AH16" s="88">
        <v>1</v>
      </c>
      <c r="AI16" s="86"/>
      <c r="AJ16" s="84"/>
      <c r="AK16" s="86">
        <v>1</v>
      </c>
      <c r="AL16" s="86"/>
      <c r="AM16" s="86"/>
      <c r="AN16" s="215"/>
      <c r="AO16" s="215"/>
      <c r="AP16" s="86"/>
      <c r="AQ16" s="108"/>
      <c r="AR16" s="84">
        <v>1</v>
      </c>
      <c r="AS16" s="86"/>
      <c r="AT16" s="86">
        <v>1</v>
      </c>
      <c r="AU16" s="86"/>
      <c r="AV16" s="86"/>
      <c r="AW16" s="86"/>
      <c r="AX16" s="86"/>
      <c r="AY16" s="86"/>
      <c r="AZ16" s="86"/>
      <c r="BA16" s="85"/>
      <c r="BB16" s="87"/>
      <c r="BC16" s="86"/>
      <c r="BD16" s="86"/>
      <c r="BE16" s="86"/>
      <c r="BF16" s="86"/>
      <c r="BG16" s="86"/>
      <c r="BH16" s="86"/>
      <c r="BI16" s="108"/>
      <c r="BJ16" s="84"/>
      <c r="BK16" s="88">
        <v>1</v>
      </c>
      <c r="BL16" s="221"/>
      <c r="BM16" s="221"/>
      <c r="BN16" s="203"/>
      <c r="BO16" s="203"/>
      <c r="BP16" s="86"/>
      <c r="BQ16" s="108">
        <v>1</v>
      </c>
      <c r="BR16" s="21" t="s">
        <v>28</v>
      </c>
      <c r="BS16" s="22">
        <f t="shared" si="1"/>
        <v>12</v>
      </c>
      <c r="BT16" s="30"/>
      <c r="BV16" s="1"/>
    </row>
    <row r="17" spans="1:72" x14ac:dyDescent="0.25">
      <c r="A17" s="19" t="s">
        <v>29</v>
      </c>
      <c r="B17" s="178"/>
      <c r="C17" s="179"/>
      <c r="D17" s="179"/>
      <c r="E17" s="179"/>
      <c r="F17" s="82"/>
      <c r="G17" s="82"/>
      <c r="H17" s="82"/>
      <c r="I17" s="83"/>
      <c r="J17" s="84"/>
      <c r="K17" s="85"/>
      <c r="L17" s="86"/>
      <c r="M17" s="85"/>
      <c r="N17" s="87"/>
      <c r="O17" s="107"/>
      <c r="P17" s="86"/>
      <c r="Q17" s="108"/>
      <c r="R17" s="84"/>
      <c r="S17" s="86"/>
      <c r="T17" s="86"/>
      <c r="U17" s="86">
        <v>1</v>
      </c>
      <c r="V17" s="86">
        <v>1</v>
      </c>
      <c r="W17" s="86"/>
      <c r="X17" s="203"/>
      <c r="Y17" s="205"/>
      <c r="Z17" s="186"/>
      <c r="AA17" s="216"/>
      <c r="AB17" s="84"/>
      <c r="AC17" s="86"/>
      <c r="AD17" s="88">
        <v>1</v>
      </c>
      <c r="AE17" s="276">
        <v>1</v>
      </c>
      <c r="AF17" s="222"/>
      <c r="AG17" s="222"/>
      <c r="AH17" s="222"/>
      <c r="AI17" s="215"/>
      <c r="AJ17" s="84"/>
      <c r="AK17" s="86"/>
      <c r="AL17" s="86">
        <v>1</v>
      </c>
      <c r="AM17" s="86">
        <v>1</v>
      </c>
      <c r="AN17" s="86"/>
      <c r="AO17" s="86"/>
      <c r="AP17" s="215"/>
      <c r="AQ17" s="216"/>
      <c r="AR17" s="185"/>
      <c r="AS17" s="215"/>
      <c r="AT17" s="215"/>
      <c r="AU17" s="215"/>
      <c r="AV17" s="86">
        <v>1</v>
      </c>
      <c r="AW17" s="86">
        <v>1</v>
      </c>
      <c r="AX17" s="86"/>
      <c r="AY17" s="86"/>
      <c r="AZ17" s="86"/>
      <c r="BA17" s="85"/>
      <c r="BB17" s="87"/>
      <c r="BC17" s="86"/>
      <c r="BD17" s="86"/>
      <c r="BE17" s="86"/>
      <c r="BF17" s="86"/>
      <c r="BG17" s="86"/>
      <c r="BH17" s="86">
        <v>1</v>
      </c>
      <c r="BI17" s="108">
        <v>1</v>
      </c>
      <c r="BJ17" s="84"/>
      <c r="BK17" s="88"/>
      <c r="BL17" s="88"/>
      <c r="BM17" s="88"/>
      <c r="BN17" s="86"/>
      <c r="BO17" s="86">
        <v>1</v>
      </c>
      <c r="BP17" s="86"/>
      <c r="BQ17" s="108"/>
      <c r="BR17" s="21" t="s">
        <v>29</v>
      </c>
      <c r="BS17" s="22">
        <f t="shared" si="1"/>
        <v>11</v>
      </c>
      <c r="BT17" s="30" t="s">
        <v>13</v>
      </c>
    </row>
    <row r="18" spans="1:72" x14ac:dyDescent="0.25">
      <c r="A18" s="19" t="s">
        <v>22</v>
      </c>
      <c r="B18" s="89">
        <v>1</v>
      </c>
      <c r="C18" s="90">
        <v>1</v>
      </c>
      <c r="D18" s="181"/>
      <c r="E18" s="182"/>
      <c r="F18" s="90"/>
      <c r="G18" s="90"/>
      <c r="H18" s="90"/>
      <c r="I18" s="91"/>
      <c r="J18" s="92"/>
      <c r="K18" s="93"/>
      <c r="L18" s="94"/>
      <c r="M18" s="93"/>
      <c r="N18" s="105"/>
      <c r="O18" s="106"/>
      <c r="P18" s="94">
        <v>1</v>
      </c>
      <c r="Q18" s="96">
        <v>1</v>
      </c>
      <c r="R18" s="92"/>
      <c r="S18" s="94"/>
      <c r="T18" s="164"/>
      <c r="U18" s="207"/>
      <c r="V18" s="207"/>
      <c r="W18" s="207"/>
      <c r="X18" s="94">
        <v>1</v>
      </c>
      <c r="Y18" s="93"/>
      <c r="Z18" s="93"/>
      <c r="AA18" s="96"/>
      <c r="AB18" s="92"/>
      <c r="AC18" s="94"/>
      <c r="AD18" s="88"/>
      <c r="AE18" s="276"/>
      <c r="AF18" s="88"/>
      <c r="AG18" s="95"/>
      <c r="AH18" s="95"/>
      <c r="AI18" s="94"/>
      <c r="AJ18" s="92"/>
      <c r="AK18" s="94"/>
      <c r="AL18" s="207"/>
      <c r="AM18" s="207"/>
      <c r="AN18" s="207"/>
      <c r="AO18" s="207"/>
      <c r="AP18" s="207"/>
      <c r="AQ18" s="219"/>
      <c r="AR18" s="212"/>
      <c r="AS18" s="207"/>
      <c r="AT18" s="207"/>
      <c r="AU18" s="207"/>
      <c r="AV18" s="207"/>
      <c r="AW18" s="207"/>
      <c r="AX18" s="207"/>
      <c r="AY18" s="207"/>
      <c r="AZ18" s="207"/>
      <c r="BA18" s="206"/>
      <c r="BB18" s="87">
        <v>1</v>
      </c>
      <c r="BC18" s="86">
        <v>1</v>
      </c>
      <c r="BD18" s="94"/>
      <c r="BE18" s="94"/>
      <c r="BF18" s="94"/>
      <c r="BG18" s="94"/>
      <c r="BH18" s="94"/>
      <c r="BI18" s="96"/>
      <c r="BJ18" s="92"/>
      <c r="BK18" s="95"/>
      <c r="BL18" s="95"/>
      <c r="BM18" s="95"/>
      <c r="BN18" s="94">
        <v>1</v>
      </c>
      <c r="BO18" s="94"/>
      <c r="BP18" s="94"/>
      <c r="BQ18" s="96"/>
      <c r="BR18" s="21" t="s">
        <v>23</v>
      </c>
      <c r="BS18" s="22">
        <f t="shared" si="1"/>
        <v>8</v>
      </c>
      <c r="BT18" s="30" t="s">
        <v>13</v>
      </c>
    </row>
    <row r="19" spans="1:72" x14ac:dyDescent="0.25">
      <c r="A19" s="19" t="s">
        <v>30</v>
      </c>
      <c r="B19" s="183"/>
      <c r="C19" s="182"/>
      <c r="D19" s="90">
        <v>1</v>
      </c>
      <c r="E19" s="182"/>
      <c r="F19" s="90">
        <v>1</v>
      </c>
      <c r="G19" s="90">
        <v>1</v>
      </c>
      <c r="H19" s="182"/>
      <c r="I19" s="184"/>
      <c r="J19" s="92">
        <v>1</v>
      </c>
      <c r="K19" s="206"/>
      <c r="L19" s="207"/>
      <c r="M19" s="206"/>
      <c r="N19" s="208"/>
      <c r="O19" s="209"/>
      <c r="P19" s="210"/>
      <c r="Q19" s="211"/>
      <c r="R19" s="212"/>
      <c r="S19" s="207"/>
      <c r="T19" s="164"/>
      <c r="U19" s="207"/>
      <c r="V19" s="94"/>
      <c r="W19" s="207"/>
      <c r="X19" s="207"/>
      <c r="Y19" s="206"/>
      <c r="Z19" s="206"/>
      <c r="AA19" s="219"/>
      <c r="AB19" s="92">
        <v>1</v>
      </c>
      <c r="AC19" s="207"/>
      <c r="AD19" s="222"/>
      <c r="AE19" s="277"/>
      <c r="AF19" s="222"/>
      <c r="AG19" s="223"/>
      <c r="AH19" s="223"/>
      <c r="AI19" s="207"/>
      <c r="AJ19" s="212"/>
      <c r="AK19" s="207"/>
      <c r="AL19" s="207"/>
      <c r="AM19" s="207"/>
      <c r="AN19" s="94">
        <v>1</v>
      </c>
      <c r="AO19" s="207"/>
      <c r="AP19" s="94">
        <v>1</v>
      </c>
      <c r="AQ19" s="96">
        <v>1</v>
      </c>
      <c r="AR19" s="212"/>
      <c r="AS19" s="207"/>
      <c r="AT19" s="207"/>
      <c r="AU19" s="207"/>
      <c r="AV19" s="207"/>
      <c r="AW19" s="207"/>
      <c r="AX19" s="94">
        <v>1</v>
      </c>
      <c r="AY19" s="207"/>
      <c r="AZ19" s="94">
        <v>1</v>
      </c>
      <c r="BA19" s="206"/>
      <c r="BB19" s="217"/>
      <c r="BC19" s="215"/>
      <c r="BD19" s="207"/>
      <c r="BE19" s="207"/>
      <c r="BF19" s="94">
        <v>1</v>
      </c>
      <c r="BG19" s="207"/>
      <c r="BH19" s="207"/>
      <c r="BI19" s="219"/>
      <c r="BJ19" s="212"/>
      <c r="BK19" s="223"/>
      <c r="BL19" s="95">
        <v>1</v>
      </c>
      <c r="BM19" s="223"/>
      <c r="BN19" s="207"/>
      <c r="BO19" s="207"/>
      <c r="BP19" s="207"/>
      <c r="BQ19" s="219"/>
      <c r="BR19" s="21" t="s">
        <v>30</v>
      </c>
      <c r="BS19" s="22">
        <f t="shared" si="1"/>
        <v>12</v>
      </c>
      <c r="BT19" s="49"/>
    </row>
    <row r="20" spans="1:72" x14ac:dyDescent="0.25">
      <c r="A20" s="19" t="s">
        <v>31</v>
      </c>
      <c r="B20" s="183"/>
      <c r="C20" s="182"/>
      <c r="D20" s="182"/>
      <c r="E20" s="182"/>
      <c r="F20" s="182"/>
      <c r="G20" s="182"/>
      <c r="H20" s="182"/>
      <c r="I20" s="184"/>
      <c r="J20" s="212"/>
      <c r="K20" s="206"/>
      <c r="L20" s="207"/>
      <c r="M20" s="206"/>
      <c r="N20" s="208"/>
      <c r="O20" s="243"/>
      <c r="P20" s="207"/>
      <c r="Q20" s="219"/>
      <c r="R20" s="212"/>
      <c r="S20" s="207"/>
      <c r="T20" s="244"/>
      <c r="U20" s="207"/>
      <c r="V20" s="207"/>
      <c r="W20" s="207"/>
      <c r="X20" s="207"/>
      <c r="Y20" s="206"/>
      <c r="Z20" s="206"/>
      <c r="AA20" s="219"/>
      <c r="AB20" s="212"/>
      <c r="AC20" s="207"/>
      <c r="AD20" s="222"/>
      <c r="AE20" s="277"/>
      <c r="AF20" s="222"/>
      <c r="AG20" s="223"/>
      <c r="AH20" s="223"/>
      <c r="AI20" s="207"/>
      <c r="AJ20" s="212"/>
      <c r="AK20" s="207"/>
      <c r="AL20" s="207"/>
      <c r="AM20" s="207"/>
      <c r="AN20" s="207"/>
      <c r="AO20" s="207"/>
      <c r="AP20" s="207"/>
      <c r="AQ20" s="219"/>
      <c r="AR20" s="212"/>
      <c r="AS20" s="207"/>
      <c r="AT20" s="207"/>
      <c r="AU20" s="207"/>
      <c r="AV20" s="207"/>
      <c r="AW20" s="207"/>
      <c r="AX20" s="207"/>
      <c r="AY20" s="207"/>
      <c r="AZ20" s="207"/>
      <c r="BA20" s="206"/>
      <c r="BB20" s="217"/>
      <c r="BC20" s="215"/>
      <c r="BD20" s="207"/>
      <c r="BE20" s="207"/>
      <c r="BF20" s="207"/>
      <c r="BG20" s="207"/>
      <c r="BH20" s="207"/>
      <c r="BI20" s="219"/>
      <c r="BJ20" s="212"/>
      <c r="BK20" s="223"/>
      <c r="BL20" s="223"/>
      <c r="BM20" s="223"/>
      <c r="BN20" s="207"/>
      <c r="BO20" s="207"/>
      <c r="BP20" s="207"/>
      <c r="BQ20" s="219"/>
      <c r="BR20" s="21" t="s">
        <v>31</v>
      </c>
      <c r="BS20" s="22">
        <f t="shared" si="1"/>
        <v>0</v>
      </c>
      <c r="BT20" s="49" t="s">
        <v>32</v>
      </c>
    </row>
    <row r="21" spans="1:72" ht="15.75" customHeight="1" thickBot="1" x14ac:dyDescent="0.3">
      <c r="A21" s="19" t="s">
        <v>33</v>
      </c>
      <c r="B21" s="245"/>
      <c r="C21" s="246"/>
      <c r="D21" s="246"/>
      <c r="E21" s="246"/>
      <c r="F21" s="246"/>
      <c r="G21" s="246"/>
      <c r="H21" s="246"/>
      <c r="I21" s="247"/>
      <c r="J21" s="248"/>
      <c r="K21" s="249"/>
      <c r="L21" s="250"/>
      <c r="M21" s="249"/>
      <c r="N21" s="251"/>
      <c r="O21" s="252"/>
      <c r="P21" s="253"/>
      <c r="Q21" s="254"/>
      <c r="R21" s="255"/>
      <c r="S21" s="256"/>
      <c r="T21" s="256"/>
      <c r="U21" s="256"/>
      <c r="V21" s="256"/>
      <c r="W21" s="256"/>
      <c r="X21" s="256"/>
      <c r="Y21" s="257"/>
      <c r="Z21" s="257"/>
      <c r="AA21" s="254"/>
      <c r="AB21" s="258"/>
      <c r="AC21" s="253"/>
      <c r="AD21" s="253"/>
      <c r="AE21" s="278"/>
      <c r="AF21" s="259"/>
      <c r="AG21" s="259"/>
      <c r="AH21" s="259"/>
      <c r="AI21" s="253"/>
      <c r="AJ21" s="255"/>
      <c r="AK21" s="256"/>
      <c r="AL21" s="256"/>
      <c r="AM21" s="256"/>
      <c r="AN21" s="256"/>
      <c r="AO21" s="256"/>
      <c r="AP21" s="256"/>
      <c r="AQ21" s="260"/>
      <c r="AR21" s="255"/>
      <c r="AS21" s="256"/>
      <c r="AT21" s="256"/>
      <c r="AU21" s="256"/>
      <c r="AV21" s="256"/>
      <c r="AW21" s="256"/>
      <c r="AX21" s="256"/>
      <c r="AY21" s="256"/>
      <c r="AZ21" s="256"/>
      <c r="BA21" s="257"/>
      <c r="BB21" s="261"/>
      <c r="BC21" s="256"/>
      <c r="BD21" s="256"/>
      <c r="BE21" s="256"/>
      <c r="BF21" s="256"/>
      <c r="BG21" s="256"/>
      <c r="BH21" s="256"/>
      <c r="BI21" s="260"/>
      <c r="BJ21" s="262"/>
      <c r="BK21" s="263"/>
      <c r="BL21" s="263"/>
      <c r="BM21" s="263"/>
      <c r="BN21" s="264"/>
      <c r="BO21" s="264"/>
      <c r="BP21" s="264"/>
      <c r="BQ21" s="254"/>
      <c r="BR21" s="21" t="s">
        <v>33</v>
      </c>
      <c r="BS21" s="23">
        <f t="shared" si="1"/>
        <v>0</v>
      </c>
      <c r="BT21" s="31" t="s">
        <v>32</v>
      </c>
    </row>
    <row r="22" spans="1:72" s="1" customFormat="1" x14ac:dyDescent="0.25">
      <c r="M22" s="1" t="s">
        <v>24</v>
      </c>
      <c r="N22" s="32" t="s">
        <v>25</v>
      </c>
      <c r="O22" s="15"/>
      <c r="AE22" s="155" t="s">
        <v>24</v>
      </c>
      <c r="AF22" s="158" t="s">
        <v>25</v>
      </c>
      <c r="AI22" s="2"/>
      <c r="AQ22" s="2"/>
      <c r="AS22" s="33"/>
      <c r="AT22" s="34"/>
      <c r="AU22" s="33"/>
      <c r="AV22" s="33"/>
      <c r="BA22" s="2" t="s">
        <v>24</v>
      </c>
      <c r="BB22" s="50" t="s">
        <v>25</v>
      </c>
      <c r="BR22" s="20"/>
    </row>
    <row r="23" spans="1:72" s="1" customFormat="1" ht="15.75" customHeight="1" thickBot="1" x14ac:dyDescent="0.3">
      <c r="A23" s="20" t="s">
        <v>34</v>
      </c>
      <c r="B23" s="20"/>
      <c r="C23" s="20"/>
      <c r="D23" s="20"/>
      <c r="E23" s="20"/>
      <c r="F23" s="20"/>
      <c r="G23" s="20"/>
      <c r="H23" s="20"/>
      <c r="I23" s="20"/>
      <c r="M23" s="2"/>
      <c r="N23" s="50"/>
      <c r="O23" s="35"/>
      <c r="AC23" s="35"/>
      <c r="AD23" s="35"/>
      <c r="AE23" s="155"/>
      <c r="BB23" s="32"/>
      <c r="BR23" s="12" t="s">
        <v>34</v>
      </c>
    </row>
    <row r="24" spans="1:72" x14ac:dyDescent="0.25">
      <c r="A24" s="19" t="s">
        <v>35</v>
      </c>
      <c r="B24" s="226"/>
      <c r="C24" s="150"/>
      <c r="D24" s="227"/>
      <c r="E24" s="150">
        <v>1</v>
      </c>
      <c r="F24" s="227"/>
      <c r="G24" s="151"/>
      <c r="H24" s="227"/>
      <c r="I24" s="152"/>
      <c r="J24" s="228"/>
      <c r="K24" s="74"/>
      <c r="L24" s="229"/>
      <c r="M24" s="74"/>
      <c r="N24" s="230"/>
      <c r="O24" s="77"/>
      <c r="P24" s="229"/>
      <c r="Q24" s="214"/>
      <c r="R24" s="231"/>
      <c r="S24" s="75">
        <v>1</v>
      </c>
      <c r="T24" s="229"/>
      <c r="U24" s="75"/>
      <c r="V24" s="229"/>
      <c r="W24" s="75"/>
      <c r="X24" s="229"/>
      <c r="Y24" s="154"/>
      <c r="Z24" s="232"/>
      <c r="AA24" s="74">
        <v>1</v>
      </c>
      <c r="AB24" s="228"/>
      <c r="AC24" s="75"/>
      <c r="AD24" s="233"/>
      <c r="AE24" s="279"/>
      <c r="AF24" s="234"/>
      <c r="AG24" s="77"/>
      <c r="AH24" s="234"/>
      <c r="AI24" s="76"/>
      <c r="AJ24" s="231"/>
      <c r="AK24" s="75"/>
      <c r="AL24" s="229"/>
      <c r="AM24" s="75">
        <v>1</v>
      </c>
      <c r="AN24" s="229"/>
      <c r="AO24" s="75"/>
      <c r="AP24" s="229"/>
      <c r="AQ24" s="74"/>
      <c r="AR24" s="228"/>
      <c r="AS24" s="75">
        <v>1</v>
      </c>
      <c r="AT24" s="229"/>
      <c r="AU24" s="75"/>
      <c r="AV24" s="229"/>
      <c r="AW24" s="75"/>
      <c r="AX24" s="229"/>
      <c r="AY24" s="137"/>
      <c r="AZ24" s="213"/>
      <c r="BA24" s="154"/>
      <c r="BB24" s="235"/>
      <c r="BC24" s="153"/>
      <c r="BD24" s="213"/>
      <c r="BE24" s="153"/>
      <c r="BF24" s="213"/>
      <c r="BG24" s="153"/>
      <c r="BH24" s="213"/>
      <c r="BI24" s="76">
        <v>1</v>
      </c>
      <c r="BJ24" s="228"/>
      <c r="BK24" s="77"/>
      <c r="BL24" s="231"/>
      <c r="BM24" s="77"/>
      <c r="BN24" s="229"/>
      <c r="BO24" s="75"/>
      <c r="BP24" s="229"/>
      <c r="BQ24" s="76"/>
      <c r="BR24" s="21" t="s">
        <v>35</v>
      </c>
      <c r="BS24" s="24">
        <f t="shared" ref="BS24:BS34" si="2">SUM(B24:BQ24)</f>
        <v>6</v>
      </c>
      <c r="BT24" s="29" t="s">
        <v>36</v>
      </c>
    </row>
    <row r="25" spans="1:72" x14ac:dyDescent="0.25">
      <c r="A25" s="19" t="s">
        <v>37</v>
      </c>
      <c r="B25" s="104"/>
      <c r="C25" s="82"/>
      <c r="D25" s="82">
        <v>1</v>
      </c>
      <c r="E25" s="82"/>
      <c r="F25" s="82"/>
      <c r="G25" s="82"/>
      <c r="H25" s="82"/>
      <c r="I25" s="83"/>
      <c r="J25" s="84"/>
      <c r="K25" s="85"/>
      <c r="L25" s="86"/>
      <c r="M25" s="85"/>
      <c r="N25" s="87"/>
      <c r="O25" s="107"/>
      <c r="P25" s="86">
        <v>1</v>
      </c>
      <c r="Q25" s="108"/>
      <c r="R25" s="84"/>
      <c r="S25" s="86"/>
      <c r="T25" s="86"/>
      <c r="U25" s="86"/>
      <c r="V25" s="86"/>
      <c r="W25" s="86"/>
      <c r="X25" s="215"/>
      <c r="Y25" s="186"/>
      <c r="Z25" s="186"/>
      <c r="AA25" s="216"/>
      <c r="AB25" s="84">
        <v>1</v>
      </c>
      <c r="AC25" s="86"/>
      <c r="AD25" s="88"/>
      <c r="AE25" s="276"/>
      <c r="AF25" s="88"/>
      <c r="AG25" s="88"/>
      <c r="AH25" s="88">
        <v>1</v>
      </c>
      <c r="AI25" s="108"/>
      <c r="AJ25" s="88"/>
      <c r="AK25" s="86"/>
      <c r="AL25" s="86"/>
      <c r="AM25" s="86"/>
      <c r="AN25" s="86"/>
      <c r="AO25" s="86"/>
      <c r="AP25" s="86"/>
      <c r="AQ25" s="108"/>
      <c r="AR25" s="84"/>
      <c r="AS25" s="86"/>
      <c r="AT25" s="86">
        <v>1</v>
      </c>
      <c r="AU25" s="86"/>
      <c r="AV25" s="86"/>
      <c r="AW25" s="86"/>
      <c r="AX25" s="86"/>
      <c r="AY25" s="86"/>
      <c r="AZ25" s="86"/>
      <c r="BA25" s="85"/>
      <c r="BB25" s="87"/>
      <c r="BC25" s="86"/>
      <c r="BD25" s="86">
        <v>1</v>
      </c>
      <c r="BE25" s="86"/>
      <c r="BF25" s="86"/>
      <c r="BG25" s="86"/>
      <c r="BH25" s="86"/>
      <c r="BI25" s="108"/>
      <c r="BJ25" s="84"/>
      <c r="BK25" s="88"/>
      <c r="BL25" s="88"/>
      <c r="BM25" s="88"/>
      <c r="BN25" s="86"/>
      <c r="BO25" s="86"/>
      <c r="BP25" s="86"/>
      <c r="BQ25" s="108"/>
      <c r="BR25" s="21" t="s">
        <v>37</v>
      </c>
      <c r="BS25" s="22">
        <f t="shared" si="2"/>
        <v>6</v>
      </c>
      <c r="BT25" s="30" t="s">
        <v>38</v>
      </c>
    </row>
    <row r="26" spans="1:72" x14ac:dyDescent="0.25">
      <c r="A26" s="19" t="s">
        <v>39</v>
      </c>
      <c r="B26" s="104">
        <v>1</v>
      </c>
      <c r="C26" s="82">
        <v>1</v>
      </c>
      <c r="D26" s="82"/>
      <c r="E26" s="82"/>
      <c r="F26" s="82"/>
      <c r="G26" s="82"/>
      <c r="H26" s="179"/>
      <c r="I26" s="224"/>
      <c r="J26" s="84"/>
      <c r="K26" s="85"/>
      <c r="L26" s="86"/>
      <c r="M26" s="85"/>
      <c r="N26" s="87"/>
      <c r="O26" s="88"/>
      <c r="P26" s="215"/>
      <c r="Q26" s="216"/>
      <c r="R26" s="222"/>
      <c r="S26" s="215"/>
      <c r="T26" s="215"/>
      <c r="U26" s="215"/>
      <c r="V26" s="215"/>
      <c r="W26" s="215"/>
      <c r="X26" s="86">
        <v>1</v>
      </c>
      <c r="Y26" s="85">
        <v>1</v>
      </c>
      <c r="Z26" s="85"/>
      <c r="AA26" s="85"/>
      <c r="AB26" s="84"/>
      <c r="AC26" s="86"/>
      <c r="AD26" s="88"/>
      <c r="AE26" s="276"/>
      <c r="AF26" s="88"/>
      <c r="AG26" s="88"/>
      <c r="AH26" s="222"/>
      <c r="AI26" s="216"/>
      <c r="AJ26" s="88"/>
      <c r="AK26" s="86"/>
      <c r="AL26" s="86"/>
      <c r="AM26" s="86"/>
      <c r="AN26" s="215"/>
      <c r="AO26" s="215"/>
      <c r="AP26" s="215"/>
      <c r="AQ26" s="186"/>
      <c r="AR26" s="84"/>
      <c r="AS26" s="86"/>
      <c r="AT26" s="215"/>
      <c r="AU26" s="215"/>
      <c r="AV26" s="215"/>
      <c r="AW26" s="215"/>
      <c r="AX26" s="215"/>
      <c r="AY26" s="215"/>
      <c r="AZ26" s="215"/>
      <c r="BA26" s="186"/>
      <c r="BB26" s="217"/>
      <c r="BC26" s="215"/>
      <c r="BD26" s="215"/>
      <c r="BE26" s="215"/>
      <c r="BF26" s="86">
        <v>1</v>
      </c>
      <c r="BG26" s="86">
        <v>1</v>
      </c>
      <c r="BH26" s="86"/>
      <c r="BI26" s="108"/>
      <c r="BJ26" s="84"/>
      <c r="BK26" s="88"/>
      <c r="BL26" s="88"/>
      <c r="BM26" s="88"/>
      <c r="BN26" s="86"/>
      <c r="BO26" s="86"/>
      <c r="BP26" s="86"/>
      <c r="BQ26" s="108"/>
      <c r="BR26" t="s">
        <v>39</v>
      </c>
      <c r="BS26" s="22">
        <f t="shared" si="2"/>
        <v>6</v>
      </c>
      <c r="BT26" s="30" t="s">
        <v>13</v>
      </c>
    </row>
    <row r="27" spans="1:72" x14ac:dyDescent="0.25">
      <c r="A27" s="19" t="s">
        <v>40</v>
      </c>
      <c r="B27" s="104"/>
      <c r="C27" s="82"/>
      <c r="D27" s="82"/>
      <c r="E27" s="82"/>
      <c r="F27" s="82">
        <v>1</v>
      </c>
      <c r="G27" s="82"/>
      <c r="H27" s="82"/>
      <c r="I27" s="83"/>
      <c r="J27" s="84"/>
      <c r="K27" s="85"/>
      <c r="L27" s="215"/>
      <c r="M27" s="186"/>
      <c r="N27" s="87"/>
      <c r="O27" s="88"/>
      <c r="P27" s="86"/>
      <c r="Q27" s="108">
        <v>1</v>
      </c>
      <c r="R27" s="88">
        <v>1</v>
      </c>
      <c r="S27" s="86"/>
      <c r="T27" s="215"/>
      <c r="U27" s="215"/>
      <c r="V27" s="86"/>
      <c r="W27" s="215"/>
      <c r="X27" s="215"/>
      <c r="Y27" s="186"/>
      <c r="Z27" s="186"/>
      <c r="AA27" s="186"/>
      <c r="AB27" s="185"/>
      <c r="AC27" s="215"/>
      <c r="AD27" s="88">
        <v>1</v>
      </c>
      <c r="AE27" s="276"/>
      <c r="AF27" s="88"/>
      <c r="AG27" s="88"/>
      <c r="AH27" s="88"/>
      <c r="AI27" s="108"/>
      <c r="AJ27" s="88"/>
      <c r="AK27" s="86"/>
      <c r="AL27" s="86"/>
      <c r="AM27" s="86"/>
      <c r="AN27" s="86">
        <v>1</v>
      </c>
      <c r="AO27" s="86"/>
      <c r="AP27" s="86"/>
      <c r="AQ27" s="85"/>
      <c r="AR27" s="84"/>
      <c r="AS27" s="86"/>
      <c r="AT27" s="86"/>
      <c r="AU27" s="86"/>
      <c r="AV27" s="86">
        <v>1</v>
      </c>
      <c r="AW27" s="86"/>
      <c r="AX27" s="86"/>
      <c r="AY27" s="86"/>
      <c r="AZ27" s="86"/>
      <c r="BA27" s="85"/>
      <c r="BB27" s="87"/>
      <c r="BC27" s="86"/>
      <c r="BD27" s="86"/>
      <c r="BE27" s="86"/>
      <c r="BF27" s="215"/>
      <c r="BG27" s="215"/>
      <c r="BH27" s="215"/>
      <c r="BI27" s="216"/>
      <c r="BJ27" s="185"/>
      <c r="BK27" s="222"/>
      <c r="BL27" s="222"/>
      <c r="BM27" s="222"/>
      <c r="BN27" s="215"/>
      <c r="BO27" s="215"/>
      <c r="BP27" s="215"/>
      <c r="BQ27" s="216"/>
      <c r="BR27" t="s">
        <v>40</v>
      </c>
      <c r="BS27" s="22">
        <f t="shared" si="2"/>
        <v>6</v>
      </c>
      <c r="BT27" s="30"/>
    </row>
    <row r="28" spans="1:72" x14ac:dyDescent="0.25">
      <c r="A28" s="19" t="s">
        <v>41</v>
      </c>
      <c r="B28" s="104"/>
      <c r="C28" s="82"/>
      <c r="D28" s="82"/>
      <c r="E28" s="82"/>
      <c r="F28" s="82"/>
      <c r="G28" s="82"/>
      <c r="H28" s="82"/>
      <c r="I28" s="83"/>
      <c r="J28" s="84"/>
      <c r="K28" s="85">
        <v>1</v>
      </c>
      <c r="L28" s="86"/>
      <c r="M28" s="85"/>
      <c r="N28" s="87"/>
      <c r="O28" s="88"/>
      <c r="P28" s="86"/>
      <c r="Q28" s="108"/>
      <c r="R28" s="88"/>
      <c r="S28" s="86"/>
      <c r="T28" s="86"/>
      <c r="U28" s="86"/>
      <c r="V28" s="86"/>
      <c r="W28" s="86">
        <v>1</v>
      </c>
      <c r="X28" s="215"/>
      <c r="Y28" s="186"/>
      <c r="Z28" s="186"/>
      <c r="AA28" s="186"/>
      <c r="AB28" s="84"/>
      <c r="AC28" s="86"/>
      <c r="AD28" s="88"/>
      <c r="AE28" s="276"/>
      <c r="AF28" s="222"/>
      <c r="AG28" s="222"/>
      <c r="AH28" s="222"/>
      <c r="AI28" s="216"/>
      <c r="AJ28" s="88">
        <v>1</v>
      </c>
      <c r="AK28" s="86"/>
      <c r="AL28" s="86">
        <v>1</v>
      </c>
      <c r="AM28" s="86"/>
      <c r="AN28" s="86"/>
      <c r="AO28" s="86"/>
      <c r="AP28" s="215"/>
      <c r="AQ28" s="186"/>
      <c r="AR28" s="185"/>
      <c r="AS28" s="215"/>
      <c r="AT28" s="215"/>
      <c r="AU28" s="215"/>
      <c r="AV28" s="86"/>
      <c r="AW28" s="86">
        <v>1</v>
      </c>
      <c r="AX28" s="86"/>
      <c r="AY28" s="86"/>
      <c r="AZ28" s="86"/>
      <c r="BA28" s="85"/>
      <c r="BB28" s="87"/>
      <c r="BC28" s="86"/>
      <c r="BD28" s="86"/>
      <c r="BE28" s="86"/>
      <c r="BF28" s="86"/>
      <c r="BG28" s="86"/>
      <c r="BH28" s="86">
        <v>1</v>
      </c>
      <c r="BI28" s="108"/>
      <c r="BJ28" s="84"/>
      <c r="BK28" s="88"/>
      <c r="BL28" s="88"/>
      <c r="BM28" s="88"/>
      <c r="BN28" s="86"/>
      <c r="BO28" s="86">
        <v>1</v>
      </c>
      <c r="BP28" s="86"/>
      <c r="BQ28" s="108"/>
      <c r="BR28" t="s">
        <v>41</v>
      </c>
      <c r="BS28" s="22">
        <f t="shared" si="2"/>
        <v>7</v>
      </c>
      <c r="BT28" s="30"/>
    </row>
    <row r="29" spans="1:72" x14ac:dyDescent="0.25">
      <c r="A29" s="19" t="s">
        <v>42</v>
      </c>
      <c r="B29" s="178"/>
      <c r="C29" s="179"/>
      <c r="D29" s="179"/>
      <c r="E29" s="179"/>
      <c r="F29" s="179"/>
      <c r="G29" s="179"/>
      <c r="H29" s="179"/>
      <c r="I29" s="224"/>
      <c r="J29" s="185"/>
      <c r="K29" s="186"/>
      <c r="L29" s="86">
        <v>1</v>
      </c>
      <c r="M29" s="85">
        <v>1</v>
      </c>
      <c r="N29" s="87"/>
      <c r="O29" s="88"/>
      <c r="P29" s="86"/>
      <c r="Q29" s="108"/>
      <c r="R29" s="222"/>
      <c r="S29" s="215"/>
      <c r="T29" s="215"/>
      <c r="U29" s="215"/>
      <c r="V29" s="215"/>
      <c r="W29" s="215"/>
      <c r="X29" s="215"/>
      <c r="Y29" s="186"/>
      <c r="Z29" s="186"/>
      <c r="AA29" s="186"/>
      <c r="AB29" s="185"/>
      <c r="AC29" s="215"/>
      <c r="AD29" s="88"/>
      <c r="AE29" s="276"/>
      <c r="AF29" s="88">
        <v>1</v>
      </c>
      <c r="AG29" s="88"/>
      <c r="AH29" s="222"/>
      <c r="AI29" s="216"/>
      <c r="AJ29" s="222"/>
      <c r="AK29" s="215"/>
      <c r="AL29" s="215"/>
      <c r="AM29" s="215"/>
      <c r="AN29" s="215"/>
      <c r="AO29" s="215"/>
      <c r="AP29" s="215"/>
      <c r="AQ29" s="186"/>
      <c r="AR29" s="185"/>
      <c r="AS29" s="215"/>
      <c r="AT29" s="215"/>
      <c r="AU29" s="215"/>
      <c r="AV29" s="215"/>
      <c r="AW29" s="215"/>
      <c r="AX29" s="215"/>
      <c r="AY29" s="215"/>
      <c r="AZ29" s="86">
        <v>1</v>
      </c>
      <c r="BA29" s="85">
        <v>1</v>
      </c>
      <c r="BB29" s="87"/>
      <c r="BC29" s="86"/>
      <c r="BD29" s="86"/>
      <c r="BE29" s="86"/>
      <c r="BF29" s="86"/>
      <c r="BG29" s="86"/>
      <c r="BH29" s="86"/>
      <c r="BI29" s="108"/>
      <c r="BJ29" s="84"/>
      <c r="BK29" s="88"/>
      <c r="BL29" s="88"/>
      <c r="BM29" s="88">
        <v>1</v>
      </c>
      <c r="BN29" s="86"/>
      <c r="BO29" s="86"/>
      <c r="BP29" s="215"/>
      <c r="BQ29" s="216"/>
      <c r="BR29" t="s">
        <v>42</v>
      </c>
      <c r="BS29" s="22">
        <f t="shared" si="2"/>
        <v>6</v>
      </c>
      <c r="BT29" s="30"/>
    </row>
    <row r="30" spans="1:72" x14ac:dyDescent="0.25">
      <c r="A30" s="19" t="s">
        <v>43</v>
      </c>
      <c r="B30" s="104"/>
      <c r="C30" s="82"/>
      <c r="D30" s="82"/>
      <c r="E30" s="82"/>
      <c r="F30" s="82"/>
      <c r="G30" s="82"/>
      <c r="H30" s="82"/>
      <c r="I30" s="83"/>
      <c r="J30" s="84"/>
      <c r="K30" s="85"/>
      <c r="L30" s="86"/>
      <c r="M30" s="85"/>
      <c r="N30" s="87"/>
      <c r="O30" s="88">
        <v>1</v>
      </c>
      <c r="P30" s="86"/>
      <c r="Q30" s="108"/>
      <c r="R30" s="88"/>
      <c r="S30" s="86"/>
      <c r="T30" s="86"/>
      <c r="U30" s="86"/>
      <c r="V30" s="86"/>
      <c r="W30" s="86"/>
      <c r="X30" s="86"/>
      <c r="Y30" s="85"/>
      <c r="Z30" s="85"/>
      <c r="AA30" s="85"/>
      <c r="AB30" s="84"/>
      <c r="AC30" s="86"/>
      <c r="AD30" s="88"/>
      <c r="AE30" s="276"/>
      <c r="AF30" s="88"/>
      <c r="AG30" s="88"/>
      <c r="AH30" s="88"/>
      <c r="AI30" s="108"/>
      <c r="AJ30" s="88"/>
      <c r="AK30" s="86">
        <v>1</v>
      </c>
      <c r="AL30" s="86"/>
      <c r="AM30" s="86"/>
      <c r="AN30" s="86"/>
      <c r="AO30" s="86"/>
      <c r="AP30" s="86"/>
      <c r="AQ30" s="85"/>
      <c r="AR30" s="84"/>
      <c r="AS30" s="86"/>
      <c r="AT30" s="86"/>
      <c r="AU30" s="86">
        <v>1</v>
      </c>
      <c r="AV30" s="86"/>
      <c r="AW30" s="86"/>
      <c r="AX30" s="86"/>
      <c r="AY30" s="86"/>
      <c r="AZ30" s="86"/>
      <c r="BA30" s="85"/>
      <c r="BB30" s="87"/>
      <c r="BC30" s="86"/>
      <c r="BD30" s="86"/>
      <c r="BE30" s="86">
        <v>1</v>
      </c>
      <c r="BF30" s="86"/>
      <c r="BG30" s="86"/>
      <c r="BH30" s="86"/>
      <c r="BI30" s="108"/>
      <c r="BJ30" s="84"/>
      <c r="BK30" s="88">
        <v>1</v>
      </c>
      <c r="BL30" s="88"/>
      <c r="BM30" s="88"/>
      <c r="BN30" s="86"/>
      <c r="BO30" s="86"/>
      <c r="BP30" s="86"/>
      <c r="BQ30" s="108">
        <v>1</v>
      </c>
      <c r="BR30" t="s">
        <v>43</v>
      </c>
      <c r="BS30" s="22">
        <f t="shared" si="2"/>
        <v>6</v>
      </c>
      <c r="BT30" s="30" t="s">
        <v>44</v>
      </c>
    </row>
    <row r="31" spans="1:72" x14ac:dyDescent="0.25">
      <c r="A31" s="19" t="s">
        <v>45</v>
      </c>
      <c r="B31" s="104"/>
      <c r="C31" s="82"/>
      <c r="D31" s="82"/>
      <c r="E31" s="82"/>
      <c r="F31" s="82"/>
      <c r="G31" s="82"/>
      <c r="H31" s="82">
        <v>1</v>
      </c>
      <c r="I31" s="83"/>
      <c r="J31" s="84"/>
      <c r="K31" s="85"/>
      <c r="L31" s="86"/>
      <c r="M31" s="85"/>
      <c r="N31" s="87"/>
      <c r="O31" s="88"/>
      <c r="P31" s="86"/>
      <c r="Q31" s="108"/>
      <c r="R31" s="88"/>
      <c r="S31" s="86"/>
      <c r="T31" s="86">
        <v>1</v>
      </c>
      <c r="U31" s="86"/>
      <c r="V31" s="86"/>
      <c r="W31" s="86"/>
      <c r="X31" s="86"/>
      <c r="Y31" s="85"/>
      <c r="Z31" s="85"/>
      <c r="AA31" s="85"/>
      <c r="AB31" s="84"/>
      <c r="AC31" s="86">
        <v>1</v>
      </c>
      <c r="AD31" s="88"/>
      <c r="AE31" s="276"/>
      <c r="AF31" s="88"/>
      <c r="AG31" s="88"/>
      <c r="AH31" s="88"/>
      <c r="AI31" s="108"/>
      <c r="AJ31" s="88"/>
      <c r="AK31" s="86"/>
      <c r="AL31" s="86"/>
      <c r="AM31" s="86"/>
      <c r="AN31" s="86"/>
      <c r="AO31" s="86"/>
      <c r="AP31" s="86">
        <v>1</v>
      </c>
      <c r="AQ31" s="85"/>
      <c r="AR31" s="84"/>
      <c r="AS31" s="86"/>
      <c r="AT31" s="86"/>
      <c r="AU31" s="86"/>
      <c r="AV31" s="86"/>
      <c r="AW31" s="86"/>
      <c r="AX31" s="86"/>
      <c r="AY31" s="86">
        <v>1</v>
      </c>
      <c r="AZ31" s="86"/>
      <c r="BA31" s="85"/>
      <c r="BB31" s="87"/>
      <c r="BC31" s="86"/>
      <c r="BD31" s="86"/>
      <c r="BE31" s="86"/>
      <c r="BF31" s="86"/>
      <c r="BG31" s="86"/>
      <c r="BH31" s="86"/>
      <c r="BI31" s="108"/>
      <c r="BJ31" s="84"/>
      <c r="BK31" s="88"/>
      <c r="BL31" s="88"/>
      <c r="BM31" s="88"/>
      <c r="BN31" s="86"/>
      <c r="BO31" s="86"/>
      <c r="BP31" s="86">
        <v>1</v>
      </c>
      <c r="BQ31" s="108"/>
      <c r="BR31" t="s">
        <v>45</v>
      </c>
      <c r="BS31" s="22">
        <f t="shared" si="2"/>
        <v>6</v>
      </c>
      <c r="BT31" s="30"/>
    </row>
    <row r="32" spans="1:72" x14ac:dyDescent="0.25">
      <c r="A32" s="19" t="s">
        <v>46</v>
      </c>
      <c r="B32" s="104"/>
      <c r="C32" s="82"/>
      <c r="D32" s="82"/>
      <c r="E32" s="82"/>
      <c r="F32" s="82"/>
      <c r="G32" s="82"/>
      <c r="H32" s="82"/>
      <c r="I32" s="83"/>
      <c r="J32" s="84">
        <v>1</v>
      </c>
      <c r="K32" s="85"/>
      <c r="L32" s="86"/>
      <c r="M32" s="85"/>
      <c r="N32" s="87"/>
      <c r="O32" s="88"/>
      <c r="P32" s="86"/>
      <c r="Q32" s="108"/>
      <c r="R32" s="88"/>
      <c r="S32" s="86"/>
      <c r="T32" s="86"/>
      <c r="U32" s="86"/>
      <c r="V32" s="86">
        <v>1</v>
      </c>
      <c r="W32" s="86"/>
      <c r="X32" s="86"/>
      <c r="Y32" s="85"/>
      <c r="Z32" s="85"/>
      <c r="AA32" s="85"/>
      <c r="AB32" s="84"/>
      <c r="AC32" s="86"/>
      <c r="AD32" s="88"/>
      <c r="AE32" s="276"/>
      <c r="AF32" s="88"/>
      <c r="AG32" s="88">
        <v>1</v>
      </c>
      <c r="AH32" s="88"/>
      <c r="AI32" s="108"/>
      <c r="AJ32" s="88"/>
      <c r="AK32" s="86"/>
      <c r="AL32" s="86"/>
      <c r="AM32" s="86"/>
      <c r="AN32" s="86"/>
      <c r="AO32" s="86"/>
      <c r="AP32" s="86"/>
      <c r="AQ32" s="85"/>
      <c r="AR32" s="84">
        <v>1</v>
      </c>
      <c r="AS32" s="86"/>
      <c r="AT32" s="86"/>
      <c r="AU32" s="86"/>
      <c r="AV32" s="86"/>
      <c r="AW32" s="86"/>
      <c r="AX32" s="86"/>
      <c r="AY32" s="86"/>
      <c r="AZ32" s="86"/>
      <c r="BA32" s="85"/>
      <c r="BB32" s="87"/>
      <c r="BC32" s="86">
        <v>1</v>
      </c>
      <c r="BD32" s="86"/>
      <c r="BE32" s="86"/>
      <c r="BF32" s="86"/>
      <c r="BG32" s="86"/>
      <c r="BH32" s="86"/>
      <c r="BI32" s="108"/>
      <c r="BJ32" s="84"/>
      <c r="BK32" s="88"/>
      <c r="BL32" s="88"/>
      <c r="BM32" s="88"/>
      <c r="BN32" s="86">
        <v>1</v>
      </c>
      <c r="BO32" s="86"/>
      <c r="BP32" s="86"/>
      <c r="BQ32" s="108"/>
      <c r="BR32" t="s">
        <v>46</v>
      </c>
      <c r="BS32" s="22">
        <f t="shared" si="2"/>
        <v>6</v>
      </c>
      <c r="BT32" s="30"/>
    </row>
    <row r="33" spans="1:72" x14ac:dyDescent="0.25">
      <c r="A33" s="19" t="s">
        <v>47</v>
      </c>
      <c r="B33" s="104"/>
      <c r="C33" s="82"/>
      <c r="D33" s="82"/>
      <c r="E33" s="82"/>
      <c r="F33" s="82"/>
      <c r="G33" s="82">
        <v>1</v>
      </c>
      <c r="H33" s="82"/>
      <c r="I33" s="83"/>
      <c r="J33" s="84"/>
      <c r="K33" s="85"/>
      <c r="L33" s="86"/>
      <c r="M33" s="85"/>
      <c r="N33" s="87">
        <v>1</v>
      </c>
      <c r="O33" s="88"/>
      <c r="P33" s="86"/>
      <c r="Q33" s="108"/>
      <c r="R33" s="222"/>
      <c r="S33" s="215"/>
      <c r="T33" s="215"/>
      <c r="U33" s="215"/>
      <c r="V33" s="86"/>
      <c r="W33" s="86"/>
      <c r="X33" s="86"/>
      <c r="Y33" s="85"/>
      <c r="Z33" s="85">
        <v>1</v>
      </c>
      <c r="AA33" s="85"/>
      <c r="AB33" s="84"/>
      <c r="AC33" s="86"/>
      <c r="AD33" s="88"/>
      <c r="AE33" s="276"/>
      <c r="AF33" s="88"/>
      <c r="AG33" s="88"/>
      <c r="AH33" s="88"/>
      <c r="AI33" s="108">
        <v>1</v>
      </c>
      <c r="AJ33" s="88"/>
      <c r="AK33" s="86"/>
      <c r="AL33" s="86"/>
      <c r="AM33" s="86"/>
      <c r="AN33" s="86"/>
      <c r="AO33" s="86">
        <v>1</v>
      </c>
      <c r="AP33" s="86"/>
      <c r="AQ33" s="85"/>
      <c r="AR33" s="84"/>
      <c r="AS33" s="86"/>
      <c r="AT33" s="86"/>
      <c r="AU33" s="86"/>
      <c r="AV33" s="86"/>
      <c r="AW33" s="86"/>
      <c r="AX33" s="86">
        <v>1</v>
      </c>
      <c r="AY33" s="86"/>
      <c r="AZ33" s="86"/>
      <c r="BA33" s="85"/>
      <c r="BB33" s="87"/>
      <c r="BC33" s="86"/>
      <c r="BD33" s="86"/>
      <c r="BE33" s="86"/>
      <c r="BF33" s="86"/>
      <c r="BG33" s="86"/>
      <c r="BH33" s="86"/>
      <c r="BI33" s="108"/>
      <c r="BJ33" s="84">
        <v>1</v>
      </c>
      <c r="BK33" s="88"/>
      <c r="BL33" s="88"/>
      <c r="BM33" s="88"/>
      <c r="BN33" s="86"/>
      <c r="BO33" s="86"/>
      <c r="BP33" s="86"/>
      <c r="BQ33" s="108"/>
      <c r="BR33" t="s">
        <v>47</v>
      </c>
      <c r="BS33" s="22">
        <f t="shared" si="2"/>
        <v>7</v>
      </c>
      <c r="BT33" s="30"/>
    </row>
    <row r="34" spans="1:72" ht="15.75" customHeight="1" thickBot="1" x14ac:dyDescent="0.3">
      <c r="A34" s="19" t="s">
        <v>48</v>
      </c>
      <c r="B34" s="97"/>
      <c r="C34" s="98"/>
      <c r="D34" s="98"/>
      <c r="E34" s="98"/>
      <c r="F34" s="98"/>
      <c r="G34" s="98"/>
      <c r="H34" s="98"/>
      <c r="I34" s="99">
        <v>1</v>
      </c>
      <c r="J34" s="101"/>
      <c r="K34" s="135"/>
      <c r="L34" s="102"/>
      <c r="M34" s="135"/>
      <c r="N34" s="138"/>
      <c r="O34" s="103"/>
      <c r="P34" s="102"/>
      <c r="Q34" s="100"/>
      <c r="R34" s="88"/>
      <c r="S34" s="86"/>
      <c r="T34" s="86"/>
      <c r="U34" s="86">
        <v>1</v>
      </c>
      <c r="V34" s="86"/>
      <c r="W34" s="86"/>
      <c r="X34" s="86"/>
      <c r="Y34" s="85"/>
      <c r="Z34" s="85"/>
      <c r="AA34" s="85"/>
      <c r="AB34" s="101"/>
      <c r="AC34" s="102"/>
      <c r="AD34" s="103"/>
      <c r="AE34" s="280">
        <v>1</v>
      </c>
      <c r="AF34" s="103"/>
      <c r="AG34" s="103"/>
      <c r="AH34" s="103"/>
      <c r="AI34" s="100"/>
      <c r="AJ34" s="88"/>
      <c r="AK34" s="86"/>
      <c r="AL34" s="86"/>
      <c r="AM34" s="86"/>
      <c r="AN34" s="86"/>
      <c r="AO34" s="86"/>
      <c r="AP34" s="86"/>
      <c r="AQ34" s="85">
        <v>1</v>
      </c>
      <c r="AR34" s="84"/>
      <c r="AS34" s="86"/>
      <c r="AT34" s="86"/>
      <c r="AU34" s="86"/>
      <c r="AV34" s="86"/>
      <c r="AW34" s="86"/>
      <c r="AX34" s="86"/>
      <c r="AY34" s="86"/>
      <c r="AZ34" s="86"/>
      <c r="BA34" s="85"/>
      <c r="BB34" s="138">
        <v>1</v>
      </c>
      <c r="BC34" s="102"/>
      <c r="BD34" s="102"/>
      <c r="BE34" s="102"/>
      <c r="BF34" s="102"/>
      <c r="BG34" s="102"/>
      <c r="BH34" s="102"/>
      <c r="BI34" s="100"/>
      <c r="BJ34" s="84"/>
      <c r="BK34" s="88"/>
      <c r="BL34" s="88">
        <v>1</v>
      </c>
      <c r="BM34" s="88"/>
      <c r="BN34" s="86"/>
      <c r="BO34" s="86"/>
      <c r="BP34" s="86"/>
      <c r="BQ34" s="108"/>
      <c r="BR34" t="s">
        <v>48</v>
      </c>
      <c r="BS34" s="23">
        <f t="shared" si="2"/>
        <v>6</v>
      </c>
      <c r="BT34" s="31"/>
    </row>
    <row r="35" spans="1:72" s="6" customFormat="1" ht="33.75" customHeight="1" thickBot="1" x14ac:dyDescent="0.25">
      <c r="A35" s="7" t="s">
        <v>49</v>
      </c>
      <c r="B35" s="47" t="s">
        <v>50</v>
      </c>
      <c r="C35" s="48" t="s">
        <v>51</v>
      </c>
      <c r="D35" s="40" t="s">
        <v>52</v>
      </c>
      <c r="E35" s="37" t="s">
        <v>53</v>
      </c>
      <c r="F35" s="37" t="s">
        <v>54</v>
      </c>
      <c r="G35" s="37" t="s">
        <v>55</v>
      </c>
      <c r="H35" s="37" t="s">
        <v>56</v>
      </c>
      <c r="I35" s="38" t="s">
        <v>57</v>
      </c>
      <c r="J35" s="36" t="s">
        <v>58</v>
      </c>
      <c r="K35" s="37" t="s">
        <v>59</v>
      </c>
      <c r="L35" s="37" t="s">
        <v>60</v>
      </c>
      <c r="M35" s="39" t="s">
        <v>61</v>
      </c>
      <c r="N35" s="139" t="s">
        <v>62</v>
      </c>
      <c r="O35" s="40" t="s">
        <v>63</v>
      </c>
      <c r="P35" s="37" t="s">
        <v>64</v>
      </c>
      <c r="Q35" s="140" t="s">
        <v>65</v>
      </c>
      <c r="R35" s="40" t="s">
        <v>66</v>
      </c>
      <c r="S35" s="37" t="s">
        <v>67</v>
      </c>
      <c r="T35" s="37" t="s">
        <v>68</v>
      </c>
      <c r="U35" s="37" t="s">
        <v>69</v>
      </c>
      <c r="V35" s="37" t="s">
        <v>70</v>
      </c>
      <c r="W35" s="37" t="s">
        <v>71</v>
      </c>
      <c r="X35" s="37" t="s">
        <v>72</v>
      </c>
      <c r="Y35" s="39" t="s">
        <v>73</v>
      </c>
      <c r="Z35" s="39" t="s">
        <v>74</v>
      </c>
      <c r="AA35" s="39" t="s">
        <v>75</v>
      </c>
      <c r="AB35" s="141" t="s">
        <v>76</v>
      </c>
      <c r="AC35" s="157" t="s">
        <v>77</v>
      </c>
      <c r="AD35" s="144" t="s">
        <v>78</v>
      </c>
      <c r="AE35" s="281" t="s">
        <v>79</v>
      </c>
      <c r="AF35" s="144" t="s">
        <v>80</v>
      </c>
      <c r="AG35" s="143" t="s">
        <v>80</v>
      </c>
      <c r="AH35" s="136" t="s">
        <v>80</v>
      </c>
      <c r="AI35" s="265" t="s">
        <v>80</v>
      </c>
      <c r="AJ35" s="40" t="s">
        <v>79</v>
      </c>
      <c r="AK35" s="37" t="s">
        <v>78</v>
      </c>
      <c r="AL35" s="37" t="s">
        <v>81</v>
      </c>
      <c r="AM35" s="37" t="s">
        <v>76</v>
      </c>
      <c r="AN35" s="37" t="s">
        <v>75</v>
      </c>
      <c r="AO35" s="37" t="s">
        <v>82</v>
      </c>
      <c r="AP35" s="37" t="s">
        <v>83</v>
      </c>
      <c r="AQ35" s="39" t="s">
        <v>84</v>
      </c>
      <c r="AR35" s="36" t="s">
        <v>70</v>
      </c>
      <c r="AS35" s="37" t="s">
        <v>85</v>
      </c>
      <c r="AT35" s="37" t="s">
        <v>86</v>
      </c>
      <c r="AU35" s="37" t="s">
        <v>87</v>
      </c>
      <c r="AV35" s="37" t="s">
        <v>88</v>
      </c>
      <c r="AW35" s="37" t="s">
        <v>89</v>
      </c>
      <c r="AX35" s="37" t="s">
        <v>90</v>
      </c>
      <c r="AY35" s="37" t="s">
        <v>91</v>
      </c>
      <c r="AZ35" s="37" t="s">
        <v>92</v>
      </c>
      <c r="BA35" s="140" t="s">
        <v>93</v>
      </c>
      <c r="BB35" s="144" t="s">
        <v>59</v>
      </c>
      <c r="BC35" s="136" t="s">
        <v>94</v>
      </c>
      <c r="BD35" s="136" t="s">
        <v>95</v>
      </c>
      <c r="BE35" s="136" t="s">
        <v>96</v>
      </c>
      <c r="BF35" s="136" t="s">
        <v>97</v>
      </c>
      <c r="BG35" s="136" t="s">
        <v>98</v>
      </c>
      <c r="BH35" s="136" t="s">
        <v>99</v>
      </c>
      <c r="BI35" s="142" t="s">
        <v>100</v>
      </c>
      <c r="BJ35" s="36" t="s">
        <v>56</v>
      </c>
      <c r="BK35" s="37" t="s">
        <v>101</v>
      </c>
      <c r="BL35" s="37" t="s">
        <v>102</v>
      </c>
      <c r="BM35" s="37" t="s">
        <v>103</v>
      </c>
      <c r="BN35" s="37" t="s">
        <v>104</v>
      </c>
      <c r="BO35" s="37" t="s">
        <v>105</v>
      </c>
      <c r="BP35" s="37" t="s">
        <v>106</v>
      </c>
      <c r="BQ35" s="140" t="s">
        <v>107</v>
      </c>
      <c r="BR35" s="18" t="s">
        <v>49</v>
      </c>
      <c r="BS35" s="10"/>
    </row>
    <row r="36" spans="1:72" s="1" customFormat="1" ht="15.75" customHeight="1" x14ac:dyDescent="0.3">
      <c r="B36" s="43">
        <v>7</v>
      </c>
      <c r="C36" s="44">
        <v>8</v>
      </c>
      <c r="D36" s="44">
        <v>14</v>
      </c>
      <c r="E36" s="44">
        <v>15</v>
      </c>
      <c r="F36" s="44">
        <v>21</v>
      </c>
      <c r="G36" s="44">
        <v>22</v>
      </c>
      <c r="H36" s="44">
        <v>28</v>
      </c>
      <c r="I36" s="266">
        <v>29</v>
      </c>
      <c r="J36" s="240">
        <v>4</v>
      </c>
      <c r="K36" s="241">
        <v>5</v>
      </c>
      <c r="L36" s="3">
        <v>11</v>
      </c>
      <c r="M36" s="3">
        <v>12</v>
      </c>
      <c r="N36" s="3">
        <v>18</v>
      </c>
      <c r="O36" s="3">
        <v>19</v>
      </c>
      <c r="P36" s="236">
        <v>25</v>
      </c>
      <c r="Q36" s="237">
        <v>26</v>
      </c>
      <c r="R36" s="160">
        <v>2</v>
      </c>
      <c r="S36" s="161">
        <v>3</v>
      </c>
      <c r="T36" s="161">
        <v>9</v>
      </c>
      <c r="U36" s="161">
        <v>10</v>
      </c>
      <c r="V36" s="161">
        <v>16</v>
      </c>
      <c r="W36" s="161">
        <v>17</v>
      </c>
      <c r="X36" s="3">
        <v>23</v>
      </c>
      <c r="Y36" s="3">
        <v>24</v>
      </c>
      <c r="Z36" s="3">
        <v>30</v>
      </c>
      <c r="AA36" s="3">
        <v>31</v>
      </c>
      <c r="AB36" s="46">
        <v>6</v>
      </c>
      <c r="AC36" s="3">
        <v>7</v>
      </c>
      <c r="AD36" s="236">
        <v>13</v>
      </c>
      <c r="AE36" s="236">
        <v>14</v>
      </c>
      <c r="AF36" s="283">
        <v>20</v>
      </c>
      <c r="AG36" s="283">
        <v>21</v>
      </c>
      <c r="AH36" s="3">
        <v>27</v>
      </c>
      <c r="AI36" s="45">
        <v>28</v>
      </c>
      <c r="AJ36" s="3">
        <v>4</v>
      </c>
      <c r="AK36" s="3">
        <v>5</v>
      </c>
      <c r="AL36" s="3">
        <v>11</v>
      </c>
      <c r="AM36" s="3">
        <v>12</v>
      </c>
      <c r="AN36" s="3">
        <v>18</v>
      </c>
      <c r="AO36" s="3">
        <v>19</v>
      </c>
      <c r="AP36" s="3">
        <v>25</v>
      </c>
      <c r="AQ36" s="45">
        <v>26</v>
      </c>
      <c r="AR36" s="46">
        <v>1</v>
      </c>
      <c r="AS36" s="3">
        <v>2</v>
      </c>
      <c r="AT36" s="3">
        <v>8</v>
      </c>
      <c r="AU36" s="3">
        <v>9</v>
      </c>
      <c r="AV36" s="3">
        <v>15</v>
      </c>
      <c r="AW36" s="3">
        <v>16</v>
      </c>
      <c r="AX36" s="3">
        <v>22</v>
      </c>
      <c r="AY36" s="3">
        <v>23</v>
      </c>
      <c r="AZ36" s="3">
        <v>29</v>
      </c>
      <c r="BA36" s="45">
        <v>30</v>
      </c>
      <c r="BB36" s="46">
        <v>5</v>
      </c>
      <c r="BC36" s="3">
        <v>6</v>
      </c>
      <c r="BD36" s="51">
        <v>12</v>
      </c>
      <c r="BE36" s="3">
        <v>13</v>
      </c>
      <c r="BF36" s="3">
        <v>19</v>
      </c>
      <c r="BG36" s="3">
        <v>20</v>
      </c>
      <c r="BH36" s="161">
        <v>26</v>
      </c>
      <c r="BI36" s="161">
        <v>27</v>
      </c>
      <c r="BJ36" s="160">
        <v>3</v>
      </c>
      <c r="BK36" s="161">
        <v>4</v>
      </c>
      <c r="BL36" s="3">
        <v>10</v>
      </c>
      <c r="BM36" s="3">
        <v>11</v>
      </c>
      <c r="BN36" s="3">
        <v>17</v>
      </c>
      <c r="BO36" s="3">
        <v>18</v>
      </c>
      <c r="BP36" s="3">
        <v>24</v>
      </c>
      <c r="BQ36" s="267">
        <v>25</v>
      </c>
      <c r="BR36" s="28" t="s">
        <v>108</v>
      </c>
      <c r="BS36" s="24">
        <f>BS5+BS14</f>
        <v>13</v>
      </c>
      <c r="BT36" s="25" t="s">
        <v>14</v>
      </c>
    </row>
    <row r="37" spans="1:72" s="1" customFormat="1" ht="15.75" customHeight="1" thickBot="1" x14ac:dyDescent="0.3">
      <c r="B37" s="41" t="s">
        <v>1</v>
      </c>
      <c r="C37" s="35"/>
      <c r="D37" s="35"/>
      <c r="E37" s="35"/>
      <c r="F37" s="35"/>
      <c r="G37" s="35"/>
      <c r="H37" s="35"/>
      <c r="I37" s="35"/>
      <c r="J37" s="41" t="s">
        <v>2</v>
      </c>
      <c r="K37" s="35"/>
      <c r="L37" s="35"/>
      <c r="M37" s="35"/>
      <c r="N37" s="35"/>
      <c r="O37" s="35"/>
      <c r="P37" s="35"/>
      <c r="Q37" s="42"/>
      <c r="R37" s="41" t="s">
        <v>3</v>
      </c>
      <c r="S37" s="35"/>
      <c r="T37" s="35"/>
      <c r="U37" s="35"/>
      <c r="V37" s="35"/>
      <c r="W37" s="35"/>
      <c r="X37" s="35"/>
      <c r="Y37" s="35"/>
      <c r="Z37" s="35"/>
      <c r="AA37" s="35"/>
      <c r="AB37" s="41" t="s">
        <v>4</v>
      </c>
      <c r="AC37" s="35"/>
      <c r="AD37" s="35"/>
      <c r="AE37" s="35"/>
      <c r="AF37" s="35"/>
      <c r="AG37" s="35"/>
      <c r="AH37" s="35"/>
      <c r="AI37" s="42"/>
      <c r="AJ37" s="35" t="s">
        <v>5</v>
      </c>
      <c r="AK37" s="35"/>
      <c r="AL37" s="35"/>
      <c r="AM37" s="35"/>
      <c r="AN37" s="35"/>
      <c r="AO37" s="35"/>
      <c r="AP37" s="35"/>
      <c r="AQ37" s="35"/>
      <c r="AR37" s="41" t="s">
        <v>6</v>
      </c>
      <c r="AS37" s="35"/>
      <c r="AT37" s="35"/>
      <c r="AU37" s="35"/>
      <c r="AV37" s="35"/>
      <c r="AW37" s="35"/>
      <c r="AX37" s="35"/>
      <c r="AY37" s="35"/>
      <c r="AZ37" s="35"/>
      <c r="BA37" s="42"/>
      <c r="BB37" s="35" t="s">
        <v>7</v>
      </c>
      <c r="BC37" s="35"/>
      <c r="BD37" s="35"/>
      <c r="BE37" s="35"/>
      <c r="BF37" s="35"/>
      <c r="BG37" s="35"/>
      <c r="BH37" s="35"/>
      <c r="BI37" s="35"/>
      <c r="BJ37" s="41" t="s">
        <v>8</v>
      </c>
      <c r="BK37" s="35"/>
      <c r="BL37" s="35"/>
      <c r="BM37" s="35"/>
      <c r="BN37" s="35"/>
      <c r="BO37" s="35"/>
      <c r="BP37" s="35"/>
      <c r="BQ37" s="42"/>
      <c r="BS37" s="22">
        <f>BS8+BS15</f>
        <v>13</v>
      </c>
      <c r="BT37" s="26" t="s">
        <v>19</v>
      </c>
    </row>
    <row r="38" spans="1:72" s="1" customFormat="1" ht="17.25" customHeight="1" thickBot="1" x14ac:dyDescent="0.35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S38" s="23">
        <f>BS10+BS18</f>
        <v>13</v>
      </c>
      <c r="BT38" s="27" t="s">
        <v>22</v>
      </c>
    </row>
    <row r="39" spans="1:72" s="1" customFormat="1" ht="15" customHeight="1" x14ac:dyDescent="0.25">
      <c r="J39" s="2" t="s">
        <v>119</v>
      </c>
      <c r="K39" s="225"/>
      <c r="O39" s="2" t="s">
        <v>109</v>
      </c>
      <c r="P39" s="242"/>
      <c r="S39" s="2" t="s">
        <v>110</v>
      </c>
      <c r="T39" s="239"/>
      <c r="U39" s="2"/>
      <c r="V39" s="2"/>
      <c r="X39" s="2" t="s">
        <v>111</v>
      </c>
      <c r="Y39" s="162"/>
      <c r="AA39" s="1" t="s">
        <v>118</v>
      </c>
      <c r="AD39" s="2"/>
      <c r="AF39" s="268"/>
      <c r="AI39" s="1" t="s">
        <v>120</v>
      </c>
      <c r="AK39" s="2"/>
      <c r="AO39" s="282"/>
      <c r="AR39" s="2"/>
      <c r="BC39" s="2"/>
      <c r="BE39" s="2"/>
      <c r="BF39" s="2"/>
      <c r="BG39" s="2"/>
    </row>
    <row r="40" spans="1:72" s="1" customFormat="1" ht="14.25" customHeight="1" x14ac:dyDescent="0.25">
      <c r="J40" s="2"/>
      <c r="O40" s="2"/>
      <c r="U40" s="2"/>
      <c r="V40" s="2"/>
      <c r="AB40" s="2"/>
      <c r="AD40" s="2"/>
      <c r="AE40" s="2"/>
      <c r="AF40" s="2"/>
      <c r="AG40" s="2"/>
      <c r="AH40" s="2"/>
      <c r="AJ40" s="2"/>
      <c r="AP40" s="2"/>
      <c r="AS40" s="2"/>
      <c r="BC40" s="2"/>
      <c r="BE40" s="2"/>
      <c r="BF40" s="2"/>
      <c r="BG40" s="2"/>
    </row>
    <row r="41" spans="1:72" s="1" customFormat="1" ht="12.75" customHeight="1" x14ac:dyDescent="0.25">
      <c r="A41" s="1" t="s">
        <v>121</v>
      </c>
      <c r="J41" s="2"/>
      <c r="O41" s="2"/>
      <c r="U41" s="2"/>
      <c r="V41" s="2"/>
      <c r="AB41" s="2"/>
      <c r="AD41" s="2"/>
      <c r="AE41" s="2"/>
      <c r="AF41" s="2"/>
      <c r="AG41" s="2"/>
      <c r="AH41" s="2"/>
      <c r="AJ41" s="2"/>
      <c r="AP41" s="2"/>
      <c r="AS41" s="2"/>
      <c r="BC41" s="2"/>
      <c r="BE41" s="2"/>
      <c r="BF41" s="2"/>
      <c r="BG41" s="2"/>
    </row>
    <row r="42" spans="1:72" ht="14.25" customHeight="1" x14ac:dyDescent="0.25">
      <c r="BQ42" s="13"/>
    </row>
    <row r="43" spans="1:72" x14ac:dyDescent="0.25">
      <c r="A43" s="9" t="s">
        <v>112</v>
      </c>
      <c r="B43" s="5" t="str">
        <f t="shared" ref="B43:AG43" si="3">IF(SUM(B4:B10)=1," ",SUM(B4:B10))</f>
        <v xml:space="preserve"> </v>
      </c>
      <c r="C43" s="5" t="str">
        <f t="shared" si="3"/>
        <v xml:space="preserve"> </v>
      </c>
      <c r="D43" s="5" t="str">
        <f t="shared" si="3"/>
        <v xml:space="preserve"> </v>
      </c>
      <c r="E43" s="5" t="str">
        <f t="shared" si="3"/>
        <v xml:space="preserve"> </v>
      </c>
      <c r="F43" s="5" t="str">
        <f t="shared" si="3"/>
        <v xml:space="preserve"> </v>
      </c>
      <c r="G43" s="5" t="str">
        <f t="shared" si="3"/>
        <v xml:space="preserve"> </v>
      </c>
      <c r="H43" s="5" t="str">
        <f t="shared" si="3"/>
        <v xml:space="preserve"> </v>
      </c>
      <c r="I43" s="5" t="str">
        <f t="shared" si="3"/>
        <v xml:space="preserve"> </v>
      </c>
      <c r="J43" s="5" t="str">
        <f t="shared" si="3"/>
        <v xml:space="preserve"> </v>
      </c>
      <c r="K43" s="5" t="str">
        <f t="shared" si="3"/>
        <v xml:space="preserve"> </v>
      </c>
      <c r="L43" s="5" t="str">
        <f t="shared" si="3"/>
        <v xml:space="preserve"> </v>
      </c>
      <c r="M43" s="5" t="str">
        <f t="shared" si="3"/>
        <v xml:space="preserve"> </v>
      </c>
      <c r="N43" s="5" t="str">
        <f t="shared" si="3"/>
        <v xml:space="preserve"> </v>
      </c>
      <c r="O43" s="5" t="str">
        <f t="shared" si="3"/>
        <v xml:space="preserve"> </v>
      </c>
      <c r="P43" s="5" t="str">
        <f t="shared" si="3"/>
        <v xml:space="preserve"> </v>
      </c>
      <c r="Q43" s="5" t="str">
        <f t="shared" si="3"/>
        <v xml:space="preserve"> </v>
      </c>
      <c r="R43" s="5" t="str">
        <f t="shared" si="3"/>
        <v xml:space="preserve"> </v>
      </c>
      <c r="S43" s="5" t="str">
        <f t="shared" si="3"/>
        <v xml:space="preserve"> </v>
      </c>
      <c r="T43" s="5" t="str">
        <f t="shared" si="3"/>
        <v xml:space="preserve"> </v>
      </c>
      <c r="U43" s="5" t="str">
        <f t="shared" si="3"/>
        <v xml:space="preserve"> </v>
      </c>
      <c r="V43" s="5" t="str">
        <f t="shared" si="3"/>
        <v xml:space="preserve"> </v>
      </c>
      <c r="W43" s="5" t="str">
        <f t="shared" si="3"/>
        <v xml:space="preserve"> </v>
      </c>
      <c r="X43" s="5" t="str">
        <f t="shared" si="3"/>
        <v xml:space="preserve"> </v>
      </c>
      <c r="Y43" s="5" t="str">
        <f t="shared" si="3"/>
        <v xml:space="preserve"> </v>
      </c>
      <c r="Z43" s="5" t="str">
        <f t="shared" si="3"/>
        <v xml:space="preserve"> </v>
      </c>
      <c r="AA43" s="5" t="str">
        <f t="shared" si="3"/>
        <v xml:space="preserve"> </v>
      </c>
      <c r="AB43" s="5" t="str">
        <f t="shared" si="3"/>
        <v xml:space="preserve"> </v>
      </c>
      <c r="AC43" s="5" t="str">
        <f t="shared" si="3"/>
        <v xml:space="preserve"> </v>
      </c>
      <c r="AD43" s="5" t="str">
        <f t="shared" si="3"/>
        <v xml:space="preserve"> </v>
      </c>
      <c r="AE43" s="5" t="str">
        <f t="shared" si="3"/>
        <v xml:space="preserve"> </v>
      </c>
      <c r="AF43" s="5" t="str">
        <f t="shared" si="3"/>
        <v xml:space="preserve"> </v>
      </c>
      <c r="AG43" s="5" t="str">
        <f t="shared" si="3"/>
        <v xml:space="preserve"> </v>
      </c>
      <c r="AH43" s="5" t="str">
        <f t="shared" ref="AH43:BQ43" si="4">IF(SUM(AH4:AH10)=1," ",SUM(AH4:AH10))</f>
        <v xml:space="preserve"> </v>
      </c>
      <c r="AI43" s="5" t="str">
        <f t="shared" si="4"/>
        <v xml:space="preserve"> </v>
      </c>
      <c r="AJ43" s="5" t="str">
        <f t="shared" si="4"/>
        <v xml:space="preserve"> </v>
      </c>
      <c r="AK43" s="5" t="str">
        <f t="shared" si="4"/>
        <v xml:space="preserve"> </v>
      </c>
      <c r="AL43" s="5" t="str">
        <f t="shared" si="4"/>
        <v xml:space="preserve"> </v>
      </c>
      <c r="AM43" s="5" t="str">
        <f t="shared" si="4"/>
        <v xml:space="preserve"> </v>
      </c>
      <c r="AN43" s="5" t="str">
        <f t="shared" si="4"/>
        <v xml:space="preserve"> </v>
      </c>
      <c r="AO43" s="5" t="str">
        <f t="shared" si="4"/>
        <v xml:space="preserve"> </v>
      </c>
      <c r="AP43" s="5" t="str">
        <f t="shared" si="4"/>
        <v xml:space="preserve"> </v>
      </c>
      <c r="AQ43" s="5" t="str">
        <f t="shared" si="4"/>
        <v xml:space="preserve"> </v>
      </c>
      <c r="AR43" s="5" t="str">
        <f t="shared" si="4"/>
        <v xml:space="preserve"> </v>
      </c>
      <c r="AS43" s="5" t="str">
        <f t="shared" si="4"/>
        <v xml:space="preserve"> </v>
      </c>
      <c r="AT43" s="5" t="str">
        <f t="shared" si="4"/>
        <v xml:space="preserve"> </v>
      </c>
      <c r="AU43" s="5" t="str">
        <f t="shared" si="4"/>
        <v xml:space="preserve"> </v>
      </c>
      <c r="AV43" s="5" t="str">
        <f t="shared" si="4"/>
        <v xml:space="preserve"> </v>
      </c>
      <c r="AW43" s="5" t="str">
        <f t="shared" si="4"/>
        <v xml:space="preserve"> </v>
      </c>
      <c r="AX43" s="5" t="str">
        <f t="shared" si="4"/>
        <v xml:space="preserve"> </v>
      </c>
      <c r="AY43" s="5" t="str">
        <f t="shared" si="4"/>
        <v xml:space="preserve"> </v>
      </c>
      <c r="AZ43" s="5" t="str">
        <f t="shared" si="4"/>
        <v xml:space="preserve"> </v>
      </c>
      <c r="BA43" s="5" t="str">
        <f t="shared" si="4"/>
        <v xml:space="preserve"> </v>
      </c>
      <c r="BB43" s="5" t="str">
        <f t="shared" si="4"/>
        <v xml:space="preserve"> </v>
      </c>
      <c r="BC43" s="5" t="str">
        <f t="shared" si="4"/>
        <v xml:space="preserve"> </v>
      </c>
      <c r="BD43" s="5" t="str">
        <f t="shared" si="4"/>
        <v xml:space="preserve"> </v>
      </c>
      <c r="BE43" s="5" t="str">
        <f t="shared" si="4"/>
        <v xml:space="preserve"> </v>
      </c>
      <c r="BF43" s="5" t="str">
        <f t="shared" si="4"/>
        <v xml:space="preserve"> </v>
      </c>
      <c r="BG43" s="5" t="str">
        <f t="shared" si="4"/>
        <v xml:space="preserve"> </v>
      </c>
      <c r="BH43" s="5" t="str">
        <f t="shared" si="4"/>
        <v xml:space="preserve"> </v>
      </c>
      <c r="BI43" s="5" t="str">
        <f t="shared" si="4"/>
        <v xml:space="preserve"> </v>
      </c>
      <c r="BJ43" s="5" t="str">
        <f t="shared" si="4"/>
        <v xml:space="preserve"> </v>
      </c>
      <c r="BK43" s="5" t="str">
        <f t="shared" si="4"/>
        <v xml:space="preserve"> </v>
      </c>
      <c r="BL43" s="5" t="str">
        <f t="shared" si="4"/>
        <v xml:space="preserve"> </v>
      </c>
      <c r="BM43" s="5" t="str">
        <f t="shared" si="4"/>
        <v xml:space="preserve"> </v>
      </c>
      <c r="BN43" s="5" t="str">
        <f t="shared" si="4"/>
        <v xml:space="preserve"> </v>
      </c>
      <c r="BO43" s="5" t="str">
        <f t="shared" si="4"/>
        <v xml:space="preserve"> </v>
      </c>
      <c r="BP43" s="5" t="str">
        <f t="shared" si="4"/>
        <v xml:space="preserve"> </v>
      </c>
      <c r="BQ43" s="5" t="str">
        <f t="shared" si="4"/>
        <v xml:space="preserve"> </v>
      </c>
    </row>
    <row r="44" spans="1:72" ht="15" customHeight="1" x14ac:dyDescent="0.25">
      <c r="A44" s="9"/>
      <c r="B44" s="9">
        <f t="shared" ref="B44:AG44" si="5">SUM(B4:B10)</f>
        <v>1</v>
      </c>
      <c r="C44" s="9">
        <f t="shared" si="5"/>
        <v>1</v>
      </c>
      <c r="D44" s="9">
        <f t="shared" si="5"/>
        <v>1</v>
      </c>
      <c r="E44" s="9">
        <f t="shared" si="5"/>
        <v>1</v>
      </c>
      <c r="F44" s="9">
        <f t="shared" si="5"/>
        <v>1</v>
      </c>
      <c r="G44" s="9">
        <f t="shared" si="5"/>
        <v>1</v>
      </c>
      <c r="H44" s="9">
        <f t="shared" si="5"/>
        <v>1</v>
      </c>
      <c r="I44" s="9">
        <f t="shared" si="5"/>
        <v>1</v>
      </c>
      <c r="J44" s="9">
        <f t="shared" si="5"/>
        <v>1</v>
      </c>
      <c r="K44" s="9">
        <f t="shared" si="5"/>
        <v>1</v>
      </c>
      <c r="L44" s="9">
        <f t="shared" si="5"/>
        <v>1</v>
      </c>
      <c r="M44" s="9">
        <f t="shared" si="5"/>
        <v>1</v>
      </c>
      <c r="N44" s="9">
        <f t="shared" si="5"/>
        <v>1</v>
      </c>
      <c r="O44" s="9">
        <f t="shared" si="5"/>
        <v>1</v>
      </c>
      <c r="P44" s="9">
        <f t="shared" si="5"/>
        <v>1</v>
      </c>
      <c r="Q44" s="9">
        <f t="shared" si="5"/>
        <v>1</v>
      </c>
      <c r="R44" s="9">
        <f t="shared" si="5"/>
        <v>1</v>
      </c>
      <c r="S44" s="9">
        <f t="shared" si="5"/>
        <v>1</v>
      </c>
      <c r="T44" s="9">
        <f t="shared" si="5"/>
        <v>1</v>
      </c>
      <c r="U44" s="9">
        <f t="shared" si="5"/>
        <v>1</v>
      </c>
      <c r="V44" s="9">
        <f t="shared" si="5"/>
        <v>1</v>
      </c>
      <c r="W44" s="9">
        <f t="shared" si="5"/>
        <v>1</v>
      </c>
      <c r="X44" s="9">
        <f t="shared" si="5"/>
        <v>1</v>
      </c>
      <c r="Y44" s="9">
        <f t="shared" si="5"/>
        <v>1</v>
      </c>
      <c r="Z44" s="9">
        <f t="shared" si="5"/>
        <v>1</v>
      </c>
      <c r="AA44" s="9">
        <f t="shared" si="5"/>
        <v>1</v>
      </c>
      <c r="AB44" s="9">
        <f t="shared" si="5"/>
        <v>1</v>
      </c>
      <c r="AC44" s="9">
        <f t="shared" si="5"/>
        <v>1</v>
      </c>
      <c r="AD44" s="9">
        <f t="shared" si="5"/>
        <v>1</v>
      </c>
      <c r="AE44" s="9">
        <f t="shared" si="5"/>
        <v>1</v>
      </c>
      <c r="AF44" s="9">
        <f t="shared" si="5"/>
        <v>1</v>
      </c>
      <c r="AG44" s="9">
        <f t="shared" si="5"/>
        <v>1</v>
      </c>
      <c r="AH44" s="9">
        <f t="shared" ref="AH44:BQ44" si="6">SUM(AH4:AH10)</f>
        <v>1</v>
      </c>
      <c r="AI44" s="9">
        <f t="shared" si="6"/>
        <v>1</v>
      </c>
      <c r="AJ44" s="9">
        <f t="shared" si="6"/>
        <v>1</v>
      </c>
      <c r="AK44" s="9">
        <f t="shared" si="6"/>
        <v>1</v>
      </c>
      <c r="AL44" s="9">
        <f t="shared" si="6"/>
        <v>1</v>
      </c>
      <c r="AM44" s="9">
        <f t="shared" si="6"/>
        <v>1</v>
      </c>
      <c r="AN44" s="9">
        <f t="shared" si="6"/>
        <v>1</v>
      </c>
      <c r="AO44" s="9">
        <f t="shared" si="6"/>
        <v>1</v>
      </c>
      <c r="AP44" s="9">
        <f t="shared" si="6"/>
        <v>1</v>
      </c>
      <c r="AQ44" s="9">
        <f t="shared" si="6"/>
        <v>1</v>
      </c>
      <c r="AR44" s="9">
        <f t="shared" si="6"/>
        <v>1</v>
      </c>
      <c r="AS44" s="9">
        <f t="shared" si="6"/>
        <v>1</v>
      </c>
      <c r="AT44" s="9">
        <f t="shared" si="6"/>
        <v>1</v>
      </c>
      <c r="AU44" s="9">
        <f t="shared" si="6"/>
        <v>1</v>
      </c>
      <c r="AV44" s="9">
        <f t="shared" si="6"/>
        <v>1</v>
      </c>
      <c r="AW44" s="9">
        <f t="shared" si="6"/>
        <v>1</v>
      </c>
      <c r="AX44" s="9">
        <f t="shared" si="6"/>
        <v>1</v>
      </c>
      <c r="AY44" s="9">
        <f t="shared" si="6"/>
        <v>1</v>
      </c>
      <c r="AZ44" s="9">
        <f t="shared" si="6"/>
        <v>1</v>
      </c>
      <c r="BA44" s="9">
        <f t="shared" si="6"/>
        <v>1</v>
      </c>
      <c r="BB44" s="9">
        <f t="shared" si="6"/>
        <v>1</v>
      </c>
      <c r="BC44" s="9">
        <f t="shared" si="6"/>
        <v>1</v>
      </c>
      <c r="BD44" s="9">
        <f t="shared" si="6"/>
        <v>1</v>
      </c>
      <c r="BE44" s="9">
        <f t="shared" si="6"/>
        <v>1</v>
      </c>
      <c r="BF44" s="9">
        <f t="shared" si="6"/>
        <v>1</v>
      </c>
      <c r="BG44" s="9">
        <f t="shared" si="6"/>
        <v>1</v>
      </c>
      <c r="BH44" s="9">
        <f t="shared" si="6"/>
        <v>1</v>
      </c>
      <c r="BI44" s="9">
        <f t="shared" si="6"/>
        <v>1</v>
      </c>
      <c r="BJ44" s="9">
        <f t="shared" si="6"/>
        <v>1</v>
      </c>
      <c r="BK44" s="9">
        <f t="shared" si="6"/>
        <v>1</v>
      </c>
      <c r="BL44" s="9">
        <f t="shared" si="6"/>
        <v>1</v>
      </c>
      <c r="BM44" s="9">
        <f t="shared" si="6"/>
        <v>1</v>
      </c>
      <c r="BN44" s="9">
        <f t="shared" si="6"/>
        <v>1</v>
      </c>
      <c r="BO44" s="9">
        <f t="shared" si="6"/>
        <v>1</v>
      </c>
      <c r="BP44" s="9">
        <f t="shared" si="6"/>
        <v>1</v>
      </c>
      <c r="BQ44" s="9">
        <f t="shared" si="6"/>
        <v>1</v>
      </c>
    </row>
    <row r="45" spans="1:72" ht="15" customHeight="1" x14ac:dyDescent="0.25">
      <c r="A45" s="9"/>
      <c r="B45" s="9">
        <f t="shared" ref="B45:AG45" si="7">SUM(B13:B21)</f>
        <v>1</v>
      </c>
      <c r="C45" s="9">
        <f t="shared" si="7"/>
        <v>1</v>
      </c>
      <c r="D45" s="9">
        <f t="shared" si="7"/>
        <v>1</v>
      </c>
      <c r="E45" s="9">
        <f t="shared" si="7"/>
        <v>1</v>
      </c>
      <c r="F45" s="9">
        <f t="shared" si="7"/>
        <v>1</v>
      </c>
      <c r="G45" s="9">
        <f t="shared" si="7"/>
        <v>1</v>
      </c>
      <c r="H45" s="9">
        <f t="shared" si="7"/>
        <v>1</v>
      </c>
      <c r="I45" s="9">
        <f t="shared" si="7"/>
        <v>1</v>
      </c>
      <c r="J45" s="9">
        <f t="shared" si="7"/>
        <v>1</v>
      </c>
      <c r="K45" s="9">
        <f t="shared" si="7"/>
        <v>1</v>
      </c>
      <c r="L45" s="9">
        <f t="shared" si="7"/>
        <v>1</v>
      </c>
      <c r="M45" s="9">
        <f t="shared" si="7"/>
        <v>1</v>
      </c>
      <c r="N45" s="9">
        <f t="shared" si="7"/>
        <v>1</v>
      </c>
      <c r="O45" s="9">
        <f t="shared" si="7"/>
        <v>1</v>
      </c>
      <c r="P45" s="9">
        <f t="shared" si="7"/>
        <v>1</v>
      </c>
      <c r="Q45" s="9">
        <f t="shared" si="7"/>
        <v>1</v>
      </c>
      <c r="R45" s="9">
        <f t="shared" si="7"/>
        <v>1</v>
      </c>
      <c r="S45" s="9">
        <f t="shared" si="7"/>
        <v>1</v>
      </c>
      <c r="T45" s="9">
        <f t="shared" si="7"/>
        <v>1</v>
      </c>
      <c r="U45" s="9">
        <f t="shared" si="7"/>
        <v>1</v>
      </c>
      <c r="V45" s="9">
        <f t="shared" si="7"/>
        <v>1</v>
      </c>
      <c r="W45" s="9">
        <f t="shared" si="7"/>
        <v>1</v>
      </c>
      <c r="X45" s="9">
        <f t="shared" si="7"/>
        <v>1</v>
      </c>
      <c r="Y45" s="9">
        <f t="shared" si="7"/>
        <v>1</v>
      </c>
      <c r="Z45" s="9">
        <f t="shared" si="7"/>
        <v>1</v>
      </c>
      <c r="AA45" s="9">
        <f t="shared" si="7"/>
        <v>1</v>
      </c>
      <c r="AB45" s="9">
        <f t="shared" si="7"/>
        <v>1</v>
      </c>
      <c r="AC45" s="9">
        <f t="shared" si="7"/>
        <v>1</v>
      </c>
      <c r="AD45" s="9">
        <f t="shared" si="7"/>
        <v>1</v>
      </c>
      <c r="AE45" s="9">
        <f t="shared" si="7"/>
        <v>1</v>
      </c>
      <c r="AF45" s="9">
        <f t="shared" si="7"/>
        <v>1</v>
      </c>
      <c r="AG45" s="9">
        <f t="shared" si="7"/>
        <v>1</v>
      </c>
      <c r="AH45" s="9">
        <f t="shared" ref="AH45:BQ45" si="8">SUM(AH13:AH21)</f>
        <v>1</v>
      </c>
      <c r="AI45" s="9">
        <f t="shared" si="8"/>
        <v>1</v>
      </c>
      <c r="AJ45" s="9">
        <f t="shared" si="8"/>
        <v>1</v>
      </c>
      <c r="AK45" s="9">
        <f t="shared" si="8"/>
        <v>1</v>
      </c>
      <c r="AL45" s="9">
        <f t="shared" si="8"/>
        <v>1</v>
      </c>
      <c r="AM45" s="9">
        <f t="shared" si="8"/>
        <v>1</v>
      </c>
      <c r="AN45" s="9">
        <f t="shared" si="8"/>
        <v>1</v>
      </c>
      <c r="AO45" s="9">
        <f t="shared" si="8"/>
        <v>1</v>
      </c>
      <c r="AP45" s="9">
        <f t="shared" si="8"/>
        <v>1</v>
      </c>
      <c r="AQ45" s="9">
        <f t="shared" si="8"/>
        <v>1</v>
      </c>
      <c r="AR45" s="9">
        <f t="shared" si="8"/>
        <v>1</v>
      </c>
      <c r="AS45" s="9">
        <f t="shared" si="8"/>
        <v>1</v>
      </c>
      <c r="AT45" s="9">
        <f t="shared" si="8"/>
        <v>1</v>
      </c>
      <c r="AU45" s="9">
        <f t="shared" si="8"/>
        <v>1</v>
      </c>
      <c r="AV45" s="9">
        <f t="shared" si="8"/>
        <v>1</v>
      </c>
      <c r="AW45" s="9">
        <f t="shared" si="8"/>
        <v>1</v>
      </c>
      <c r="AX45" s="9">
        <f t="shared" si="8"/>
        <v>1</v>
      </c>
      <c r="AY45" s="9">
        <f t="shared" si="8"/>
        <v>1</v>
      </c>
      <c r="AZ45" s="9">
        <f t="shared" si="8"/>
        <v>1</v>
      </c>
      <c r="BA45" s="9">
        <f t="shared" si="8"/>
        <v>1</v>
      </c>
      <c r="BB45" s="9">
        <f t="shared" si="8"/>
        <v>1</v>
      </c>
      <c r="BC45" s="9">
        <f t="shared" si="8"/>
        <v>1</v>
      </c>
      <c r="BD45" s="9">
        <f t="shared" si="8"/>
        <v>1</v>
      </c>
      <c r="BE45" s="9">
        <f t="shared" si="8"/>
        <v>1</v>
      </c>
      <c r="BF45" s="9">
        <f t="shared" si="8"/>
        <v>1</v>
      </c>
      <c r="BG45" s="9">
        <f t="shared" si="8"/>
        <v>1</v>
      </c>
      <c r="BH45" s="9">
        <f t="shared" si="8"/>
        <v>1</v>
      </c>
      <c r="BI45" s="9">
        <f t="shared" si="8"/>
        <v>1</v>
      </c>
      <c r="BJ45" s="9">
        <f t="shared" si="8"/>
        <v>1</v>
      </c>
      <c r="BK45" s="9">
        <f t="shared" si="8"/>
        <v>1</v>
      </c>
      <c r="BL45" s="9">
        <f t="shared" si="8"/>
        <v>1</v>
      </c>
      <c r="BM45" s="9">
        <f t="shared" si="8"/>
        <v>1</v>
      </c>
      <c r="BN45" s="9">
        <f t="shared" si="8"/>
        <v>1</v>
      </c>
      <c r="BO45" s="9">
        <f t="shared" si="8"/>
        <v>1</v>
      </c>
      <c r="BP45" s="9">
        <f t="shared" si="8"/>
        <v>1</v>
      </c>
      <c r="BQ45" s="9">
        <f t="shared" si="8"/>
        <v>1</v>
      </c>
    </row>
    <row r="46" spans="1:72" ht="15" customHeight="1" x14ac:dyDescent="0.25">
      <c r="A46" s="9"/>
      <c r="B46" s="9">
        <f t="shared" ref="B46:AG46" si="9">SUM(B24:B34)</f>
        <v>1</v>
      </c>
      <c r="C46" s="9">
        <f t="shared" si="9"/>
        <v>1</v>
      </c>
      <c r="D46" s="9">
        <f t="shared" si="9"/>
        <v>1</v>
      </c>
      <c r="E46" s="9">
        <f t="shared" si="9"/>
        <v>1</v>
      </c>
      <c r="F46" s="9">
        <f t="shared" si="9"/>
        <v>1</v>
      </c>
      <c r="G46" s="9">
        <f t="shared" si="9"/>
        <v>1</v>
      </c>
      <c r="H46" s="9">
        <f t="shared" si="9"/>
        <v>1</v>
      </c>
      <c r="I46" s="9">
        <f t="shared" si="9"/>
        <v>1</v>
      </c>
      <c r="J46" s="9">
        <f t="shared" si="9"/>
        <v>1</v>
      </c>
      <c r="K46" s="9">
        <f t="shared" si="9"/>
        <v>1</v>
      </c>
      <c r="L46" s="9">
        <f t="shared" si="9"/>
        <v>1</v>
      </c>
      <c r="M46" s="9">
        <f t="shared" si="9"/>
        <v>1</v>
      </c>
      <c r="N46" s="9">
        <f t="shared" si="9"/>
        <v>1</v>
      </c>
      <c r="O46" s="9">
        <f t="shared" si="9"/>
        <v>1</v>
      </c>
      <c r="P46" s="9">
        <f t="shared" si="9"/>
        <v>1</v>
      </c>
      <c r="Q46" s="9">
        <f t="shared" si="9"/>
        <v>1</v>
      </c>
      <c r="R46" s="9">
        <f t="shared" si="9"/>
        <v>1</v>
      </c>
      <c r="S46" s="9">
        <f t="shared" si="9"/>
        <v>1</v>
      </c>
      <c r="T46" s="9">
        <f t="shared" si="9"/>
        <v>1</v>
      </c>
      <c r="U46" s="9">
        <f t="shared" si="9"/>
        <v>1</v>
      </c>
      <c r="V46" s="9">
        <f t="shared" si="9"/>
        <v>1</v>
      </c>
      <c r="W46" s="9">
        <f t="shared" si="9"/>
        <v>1</v>
      </c>
      <c r="X46" s="9">
        <f t="shared" si="9"/>
        <v>1</v>
      </c>
      <c r="Y46" s="9">
        <f t="shared" si="9"/>
        <v>1</v>
      </c>
      <c r="Z46" s="9">
        <f t="shared" si="9"/>
        <v>1</v>
      </c>
      <c r="AA46" s="9">
        <f t="shared" si="9"/>
        <v>1</v>
      </c>
      <c r="AB46" s="9">
        <f t="shared" si="9"/>
        <v>1</v>
      </c>
      <c r="AC46" s="9">
        <f t="shared" si="9"/>
        <v>1</v>
      </c>
      <c r="AD46" s="9">
        <f t="shared" si="9"/>
        <v>1</v>
      </c>
      <c r="AE46" s="9">
        <f t="shared" si="9"/>
        <v>1</v>
      </c>
      <c r="AF46" s="9">
        <f t="shared" si="9"/>
        <v>1</v>
      </c>
      <c r="AG46" s="9">
        <f t="shared" si="9"/>
        <v>1</v>
      </c>
      <c r="AH46" s="9">
        <f t="shared" ref="AH46:BQ46" si="10">SUM(AH24:AH34)</f>
        <v>1</v>
      </c>
      <c r="AI46" s="9">
        <f t="shared" si="10"/>
        <v>1</v>
      </c>
      <c r="AJ46" s="9">
        <f t="shared" si="10"/>
        <v>1</v>
      </c>
      <c r="AK46" s="9">
        <f t="shared" si="10"/>
        <v>1</v>
      </c>
      <c r="AL46" s="9">
        <f t="shared" si="10"/>
        <v>1</v>
      </c>
      <c r="AM46" s="9">
        <f t="shared" si="10"/>
        <v>1</v>
      </c>
      <c r="AN46" s="9">
        <f t="shared" si="10"/>
        <v>1</v>
      </c>
      <c r="AO46" s="9">
        <f t="shared" si="10"/>
        <v>1</v>
      </c>
      <c r="AP46" s="9">
        <f t="shared" si="10"/>
        <v>1</v>
      </c>
      <c r="AQ46" s="9">
        <f t="shared" si="10"/>
        <v>1</v>
      </c>
      <c r="AR46" s="9">
        <f t="shared" si="10"/>
        <v>1</v>
      </c>
      <c r="AS46" s="9">
        <f t="shared" si="10"/>
        <v>1</v>
      </c>
      <c r="AT46" s="9">
        <f t="shared" si="10"/>
        <v>1</v>
      </c>
      <c r="AU46" s="9">
        <f t="shared" si="10"/>
        <v>1</v>
      </c>
      <c r="AV46" s="9">
        <f t="shared" si="10"/>
        <v>1</v>
      </c>
      <c r="AW46" s="9">
        <f t="shared" si="10"/>
        <v>1</v>
      </c>
      <c r="AX46" s="9">
        <f t="shared" si="10"/>
        <v>1</v>
      </c>
      <c r="AY46" s="9">
        <f t="shared" si="10"/>
        <v>1</v>
      </c>
      <c r="AZ46" s="9">
        <f t="shared" si="10"/>
        <v>1</v>
      </c>
      <c r="BA46" s="9">
        <f t="shared" si="10"/>
        <v>1</v>
      </c>
      <c r="BB46" s="9">
        <f t="shared" si="10"/>
        <v>1</v>
      </c>
      <c r="BC46" s="9">
        <f t="shared" si="10"/>
        <v>1</v>
      </c>
      <c r="BD46" s="9">
        <f t="shared" si="10"/>
        <v>1</v>
      </c>
      <c r="BE46" s="9">
        <f t="shared" si="10"/>
        <v>1</v>
      </c>
      <c r="BF46" s="9">
        <f t="shared" si="10"/>
        <v>1</v>
      </c>
      <c r="BG46" s="9">
        <f t="shared" si="10"/>
        <v>1</v>
      </c>
      <c r="BH46" s="9">
        <f t="shared" si="10"/>
        <v>1</v>
      </c>
      <c r="BI46" s="9">
        <f t="shared" si="10"/>
        <v>1</v>
      </c>
      <c r="BJ46" s="9">
        <f t="shared" si="10"/>
        <v>1</v>
      </c>
      <c r="BK46" s="9">
        <f t="shared" si="10"/>
        <v>1</v>
      </c>
      <c r="BL46" s="9">
        <f t="shared" si="10"/>
        <v>1</v>
      </c>
      <c r="BM46" s="9">
        <f t="shared" si="10"/>
        <v>1</v>
      </c>
      <c r="BN46" s="9">
        <f t="shared" si="10"/>
        <v>1</v>
      </c>
      <c r="BO46" s="9">
        <f t="shared" si="10"/>
        <v>1</v>
      </c>
      <c r="BP46" s="9">
        <f t="shared" si="10"/>
        <v>1</v>
      </c>
      <c r="BQ46" s="9">
        <f t="shared" si="10"/>
        <v>1</v>
      </c>
    </row>
    <row r="47" spans="1:72" x14ac:dyDescent="0.25">
      <c r="A47" s="9" t="s">
        <v>113</v>
      </c>
      <c r="B47" s="5" t="str">
        <f t="shared" ref="B47:AG47" si="11">IF(SUM(B13:B21)=1," ",SUM(B13:B21))</f>
        <v xml:space="preserve"> </v>
      </c>
      <c r="C47" s="5" t="str">
        <f t="shared" si="11"/>
        <v xml:space="preserve"> </v>
      </c>
      <c r="D47" s="5" t="str">
        <f t="shared" si="11"/>
        <v xml:space="preserve"> </v>
      </c>
      <c r="E47" s="5" t="str">
        <f t="shared" si="11"/>
        <v xml:space="preserve"> </v>
      </c>
      <c r="F47" s="5" t="str">
        <f t="shared" si="11"/>
        <v xml:space="preserve"> </v>
      </c>
      <c r="G47" s="5" t="str">
        <f t="shared" si="11"/>
        <v xml:space="preserve"> </v>
      </c>
      <c r="H47" s="5" t="str">
        <f t="shared" si="11"/>
        <v xml:space="preserve"> </v>
      </c>
      <c r="I47" s="5" t="str">
        <f t="shared" si="11"/>
        <v xml:space="preserve"> </v>
      </c>
      <c r="J47" s="5" t="str">
        <f t="shared" si="11"/>
        <v xml:space="preserve"> </v>
      </c>
      <c r="K47" s="5" t="str">
        <f t="shared" si="11"/>
        <v xml:space="preserve"> </v>
      </c>
      <c r="L47" s="5" t="str">
        <f t="shared" si="11"/>
        <v xml:space="preserve"> </v>
      </c>
      <c r="M47" s="5" t="str">
        <f t="shared" si="11"/>
        <v xml:space="preserve"> </v>
      </c>
      <c r="N47" s="5" t="str">
        <f t="shared" si="11"/>
        <v xml:space="preserve"> </v>
      </c>
      <c r="O47" s="5" t="str">
        <f t="shared" si="11"/>
        <v xml:space="preserve"> </v>
      </c>
      <c r="P47" s="5" t="str">
        <f t="shared" si="11"/>
        <v xml:space="preserve"> </v>
      </c>
      <c r="Q47" s="5" t="str">
        <f t="shared" si="11"/>
        <v xml:space="preserve"> </v>
      </c>
      <c r="R47" s="5" t="str">
        <f t="shared" si="11"/>
        <v xml:space="preserve"> </v>
      </c>
      <c r="S47" s="5" t="str">
        <f t="shared" si="11"/>
        <v xml:space="preserve"> </v>
      </c>
      <c r="T47" s="5" t="str">
        <f t="shared" si="11"/>
        <v xml:space="preserve"> </v>
      </c>
      <c r="U47" s="5" t="str">
        <f t="shared" si="11"/>
        <v xml:space="preserve"> </v>
      </c>
      <c r="V47" s="5" t="str">
        <f t="shared" si="11"/>
        <v xml:space="preserve"> </v>
      </c>
      <c r="W47" s="5" t="str">
        <f t="shared" si="11"/>
        <v xml:space="preserve"> </v>
      </c>
      <c r="X47" s="5" t="str">
        <f t="shared" si="11"/>
        <v xml:space="preserve"> </v>
      </c>
      <c r="Y47" s="5" t="str">
        <f t="shared" si="11"/>
        <v xml:space="preserve"> </v>
      </c>
      <c r="Z47" s="5" t="str">
        <f t="shared" si="11"/>
        <v xml:space="preserve"> </v>
      </c>
      <c r="AA47" s="5" t="str">
        <f t="shared" si="11"/>
        <v xml:space="preserve"> </v>
      </c>
      <c r="AB47" s="5" t="str">
        <f t="shared" si="11"/>
        <v xml:space="preserve"> </v>
      </c>
      <c r="AC47" s="5" t="str">
        <f t="shared" si="11"/>
        <v xml:space="preserve"> </v>
      </c>
      <c r="AD47" s="5" t="str">
        <f t="shared" si="11"/>
        <v xml:space="preserve"> </v>
      </c>
      <c r="AE47" s="5" t="str">
        <f t="shared" si="11"/>
        <v xml:space="preserve"> </v>
      </c>
      <c r="AF47" s="5" t="str">
        <f t="shared" si="11"/>
        <v xml:space="preserve"> </v>
      </c>
      <c r="AG47" s="5" t="str">
        <f t="shared" si="11"/>
        <v xml:space="preserve"> </v>
      </c>
      <c r="AH47" s="5" t="str">
        <f t="shared" ref="AH47:BQ47" si="12">IF(SUM(AH13:AH21)=1," ",SUM(AH13:AH21))</f>
        <v xml:space="preserve"> </v>
      </c>
      <c r="AI47" s="5" t="str">
        <f t="shared" si="12"/>
        <v xml:space="preserve"> </v>
      </c>
      <c r="AJ47" s="5" t="str">
        <f t="shared" si="12"/>
        <v xml:space="preserve"> </v>
      </c>
      <c r="AK47" s="5" t="str">
        <f t="shared" si="12"/>
        <v xml:space="preserve"> </v>
      </c>
      <c r="AL47" s="5" t="str">
        <f t="shared" si="12"/>
        <v xml:space="preserve"> </v>
      </c>
      <c r="AM47" s="5" t="str">
        <f t="shared" si="12"/>
        <v xml:space="preserve"> </v>
      </c>
      <c r="AN47" s="5" t="str">
        <f t="shared" si="12"/>
        <v xml:space="preserve"> </v>
      </c>
      <c r="AO47" s="5" t="str">
        <f t="shared" si="12"/>
        <v xml:space="preserve"> </v>
      </c>
      <c r="AP47" s="5" t="str">
        <f t="shared" si="12"/>
        <v xml:space="preserve"> </v>
      </c>
      <c r="AQ47" s="5" t="str">
        <f t="shared" si="12"/>
        <v xml:space="preserve"> </v>
      </c>
      <c r="AR47" s="5" t="str">
        <f t="shared" si="12"/>
        <v xml:space="preserve"> </v>
      </c>
      <c r="AS47" s="5" t="str">
        <f t="shared" si="12"/>
        <v xml:space="preserve"> </v>
      </c>
      <c r="AT47" s="5" t="str">
        <f t="shared" si="12"/>
        <v xml:space="preserve"> </v>
      </c>
      <c r="AU47" s="5" t="str">
        <f t="shared" si="12"/>
        <v xml:space="preserve"> </v>
      </c>
      <c r="AV47" s="5" t="str">
        <f t="shared" si="12"/>
        <v xml:space="preserve"> </v>
      </c>
      <c r="AW47" s="5" t="str">
        <f t="shared" si="12"/>
        <v xml:space="preserve"> </v>
      </c>
      <c r="AX47" s="5" t="str">
        <f t="shared" si="12"/>
        <v xml:space="preserve"> </v>
      </c>
      <c r="AY47" s="5" t="str">
        <f t="shared" si="12"/>
        <v xml:space="preserve"> </v>
      </c>
      <c r="AZ47" s="5" t="str">
        <f t="shared" si="12"/>
        <v xml:space="preserve"> </v>
      </c>
      <c r="BA47" s="5" t="str">
        <f t="shared" si="12"/>
        <v xml:space="preserve"> </v>
      </c>
      <c r="BB47" s="5" t="str">
        <f t="shared" si="12"/>
        <v xml:space="preserve"> </v>
      </c>
      <c r="BC47" s="5" t="str">
        <f t="shared" si="12"/>
        <v xml:space="preserve"> </v>
      </c>
      <c r="BD47" s="5" t="str">
        <f t="shared" si="12"/>
        <v xml:space="preserve"> </v>
      </c>
      <c r="BE47" s="5" t="str">
        <f t="shared" si="12"/>
        <v xml:space="preserve"> </v>
      </c>
      <c r="BF47" s="5" t="str">
        <f t="shared" si="12"/>
        <v xml:space="preserve"> </v>
      </c>
      <c r="BG47" s="5" t="str">
        <f t="shared" si="12"/>
        <v xml:space="preserve"> </v>
      </c>
      <c r="BH47" s="5" t="str">
        <f t="shared" si="12"/>
        <v xml:space="preserve"> </v>
      </c>
      <c r="BI47" s="5" t="str">
        <f t="shared" si="12"/>
        <v xml:space="preserve"> </v>
      </c>
      <c r="BJ47" s="5" t="str">
        <f t="shared" si="12"/>
        <v xml:space="preserve"> </v>
      </c>
      <c r="BK47" s="5" t="str">
        <f t="shared" si="12"/>
        <v xml:space="preserve"> </v>
      </c>
      <c r="BL47" s="5" t="str">
        <f t="shared" si="12"/>
        <v xml:space="preserve"> </v>
      </c>
      <c r="BM47" s="5" t="str">
        <f t="shared" si="12"/>
        <v xml:space="preserve"> </v>
      </c>
      <c r="BN47" s="5" t="str">
        <f t="shared" si="12"/>
        <v xml:space="preserve"> </v>
      </c>
      <c r="BO47" s="5" t="str">
        <f t="shared" si="12"/>
        <v xml:space="preserve"> </v>
      </c>
      <c r="BP47" s="5" t="str">
        <f t="shared" si="12"/>
        <v xml:space="preserve"> </v>
      </c>
      <c r="BQ47" s="5" t="str">
        <f t="shared" si="12"/>
        <v xml:space="preserve"> </v>
      </c>
    </row>
    <row r="48" spans="1:72" x14ac:dyDescent="0.25">
      <c r="A48" s="9" t="s">
        <v>114</v>
      </c>
      <c r="B48" s="5" t="str">
        <f t="shared" ref="B48:AG48" si="13">IF(SUM(B24:B34)=1," ",SUM(B24:B34))</f>
        <v xml:space="preserve"> </v>
      </c>
      <c r="C48" s="5" t="str">
        <f t="shared" si="13"/>
        <v xml:space="preserve"> </v>
      </c>
      <c r="D48" s="5" t="str">
        <f t="shared" si="13"/>
        <v xml:space="preserve"> </v>
      </c>
      <c r="E48" s="5" t="str">
        <f t="shared" si="13"/>
        <v xml:space="preserve"> </v>
      </c>
      <c r="F48" s="5" t="str">
        <f t="shared" si="13"/>
        <v xml:space="preserve"> </v>
      </c>
      <c r="G48" s="5" t="str">
        <f t="shared" si="13"/>
        <v xml:space="preserve"> </v>
      </c>
      <c r="H48" s="5" t="str">
        <f t="shared" si="13"/>
        <v xml:space="preserve"> </v>
      </c>
      <c r="I48" s="5" t="str">
        <f t="shared" si="13"/>
        <v xml:space="preserve"> </v>
      </c>
      <c r="J48" s="5" t="str">
        <f t="shared" si="13"/>
        <v xml:space="preserve"> </v>
      </c>
      <c r="K48" s="5" t="str">
        <f t="shared" si="13"/>
        <v xml:space="preserve"> </v>
      </c>
      <c r="L48" s="5" t="str">
        <f t="shared" si="13"/>
        <v xml:space="preserve"> </v>
      </c>
      <c r="M48" s="5" t="str">
        <f t="shared" si="13"/>
        <v xml:space="preserve"> </v>
      </c>
      <c r="N48" s="5" t="str">
        <f t="shared" si="13"/>
        <v xml:space="preserve"> </v>
      </c>
      <c r="O48" s="5" t="str">
        <f t="shared" si="13"/>
        <v xml:space="preserve"> </v>
      </c>
      <c r="P48" s="5" t="str">
        <f t="shared" si="13"/>
        <v xml:space="preserve"> </v>
      </c>
      <c r="Q48" s="5" t="str">
        <f t="shared" si="13"/>
        <v xml:space="preserve"> </v>
      </c>
      <c r="R48" s="5" t="str">
        <f t="shared" si="13"/>
        <v xml:space="preserve"> </v>
      </c>
      <c r="S48" s="5" t="str">
        <f t="shared" si="13"/>
        <v xml:space="preserve"> </v>
      </c>
      <c r="T48" s="5" t="str">
        <f t="shared" si="13"/>
        <v xml:space="preserve"> </v>
      </c>
      <c r="U48" s="5" t="str">
        <f t="shared" si="13"/>
        <v xml:space="preserve"> </v>
      </c>
      <c r="V48" s="5" t="str">
        <f t="shared" si="13"/>
        <v xml:space="preserve"> </v>
      </c>
      <c r="W48" s="5" t="str">
        <f t="shared" si="13"/>
        <v xml:space="preserve"> </v>
      </c>
      <c r="X48" s="5" t="str">
        <f t="shared" si="13"/>
        <v xml:space="preserve"> </v>
      </c>
      <c r="Y48" s="5" t="str">
        <f t="shared" si="13"/>
        <v xml:space="preserve"> </v>
      </c>
      <c r="Z48" s="5" t="str">
        <f t="shared" si="13"/>
        <v xml:space="preserve"> </v>
      </c>
      <c r="AA48" s="5" t="str">
        <f t="shared" si="13"/>
        <v xml:space="preserve"> </v>
      </c>
      <c r="AB48" s="5" t="str">
        <f t="shared" si="13"/>
        <v xml:space="preserve"> </v>
      </c>
      <c r="AC48" s="5" t="str">
        <f t="shared" si="13"/>
        <v xml:space="preserve"> </v>
      </c>
      <c r="AD48" s="5" t="str">
        <f t="shared" si="13"/>
        <v xml:space="preserve"> </v>
      </c>
      <c r="AE48" s="5" t="str">
        <f t="shared" si="13"/>
        <v xml:space="preserve"> </v>
      </c>
      <c r="AF48" s="5" t="str">
        <f t="shared" si="13"/>
        <v xml:space="preserve"> </v>
      </c>
      <c r="AG48" s="5" t="str">
        <f t="shared" si="13"/>
        <v xml:space="preserve"> </v>
      </c>
      <c r="AH48" s="5" t="str">
        <f t="shared" ref="AH48:BQ48" si="14">IF(SUM(AH24:AH34)=1," ",SUM(AH24:AH34))</f>
        <v xml:space="preserve"> </v>
      </c>
      <c r="AI48" s="5" t="str">
        <f t="shared" si="14"/>
        <v xml:space="preserve"> </v>
      </c>
      <c r="AJ48" s="5" t="str">
        <f t="shared" si="14"/>
        <v xml:space="preserve"> </v>
      </c>
      <c r="AK48" s="5" t="str">
        <f t="shared" si="14"/>
        <v xml:space="preserve"> </v>
      </c>
      <c r="AL48" s="5" t="str">
        <f t="shared" si="14"/>
        <v xml:space="preserve"> </v>
      </c>
      <c r="AM48" s="5" t="str">
        <f t="shared" si="14"/>
        <v xml:space="preserve"> </v>
      </c>
      <c r="AN48" s="5" t="str">
        <f t="shared" si="14"/>
        <v xml:space="preserve"> </v>
      </c>
      <c r="AO48" s="5" t="str">
        <f t="shared" si="14"/>
        <v xml:space="preserve"> </v>
      </c>
      <c r="AP48" s="5" t="str">
        <f t="shared" si="14"/>
        <v xml:space="preserve"> </v>
      </c>
      <c r="AQ48" s="5" t="str">
        <f t="shared" si="14"/>
        <v xml:space="preserve"> </v>
      </c>
      <c r="AR48" s="5" t="str">
        <f t="shared" si="14"/>
        <v xml:space="preserve"> </v>
      </c>
      <c r="AS48" s="5" t="str">
        <f t="shared" si="14"/>
        <v xml:space="preserve"> </v>
      </c>
      <c r="AT48" s="5" t="str">
        <f t="shared" si="14"/>
        <v xml:space="preserve"> </v>
      </c>
      <c r="AU48" s="5" t="str">
        <f t="shared" si="14"/>
        <v xml:space="preserve"> </v>
      </c>
      <c r="AV48" s="5" t="str">
        <f t="shared" si="14"/>
        <v xml:space="preserve"> </v>
      </c>
      <c r="AW48" s="5" t="str">
        <f t="shared" si="14"/>
        <v xml:space="preserve"> </v>
      </c>
      <c r="AX48" s="5" t="str">
        <f t="shared" si="14"/>
        <v xml:space="preserve"> </v>
      </c>
      <c r="AY48" s="5" t="str">
        <f t="shared" si="14"/>
        <v xml:space="preserve"> </v>
      </c>
      <c r="AZ48" s="5" t="str">
        <f t="shared" si="14"/>
        <v xml:space="preserve"> </v>
      </c>
      <c r="BA48" s="5" t="str">
        <f t="shared" si="14"/>
        <v xml:space="preserve"> </v>
      </c>
      <c r="BB48" s="5" t="str">
        <f t="shared" si="14"/>
        <v xml:space="preserve"> </v>
      </c>
      <c r="BC48" s="5" t="str">
        <f t="shared" si="14"/>
        <v xml:space="preserve"> </v>
      </c>
      <c r="BD48" s="5" t="str">
        <f t="shared" si="14"/>
        <v xml:space="preserve"> </v>
      </c>
      <c r="BE48" s="5" t="str">
        <f t="shared" si="14"/>
        <v xml:space="preserve"> </v>
      </c>
      <c r="BF48" s="5" t="str">
        <f t="shared" si="14"/>
        <v xml:space="preserve"> </v>
      </c>
      <c r="BG48" s="5" t="str">
        <f t="shared" si="14"/>
        <v xml:space="preserve"> </v>
      </c>
      <c r="BH48" s="5" t="str">
        <f t="shared" si="14"/>
        <v xml:space="preserve"> </v>
      </c>
      <c r="BI48" s="5" t="str">
        <f t="shared" si="14"/>
        <v xml:space="preserve"> </v>
      </c>
      <c r="BJ48" s="5" t="str">
        <f t="shared" si="14"/>
        <v xml:space="preserve"> </v>
      </c>
      <c r="BK48" s="5" t="str">
        <f t="shared" si="14"/>
        <v xml:space="preserve"> </v>
      </c>
      <c r="BL48" s="5" t="str">
        <f t="shared" si="14"/>
        <v xml:space="preserve"> </v>
      </c>
      <c r="BM48" s="5" t="str">
        <f t="shared" si="14"/>
        <v xml:space="preserve"> </v>
      </c>
      <c r="BN48" s="5" t="str">
        <f t="shared" si="14"/>
        <v xml:space="preserve"> </v>
      </c>
      <c r="BO48" s="5" t="str">
        <f t="shared" si="14"/>
        <v xml:space="preserve"> </v>
      </c>
      <c r="BP48" s="5" t="str">
        <f t="shared" si="14"/>
        <v xml:space="preserve"> </v>
      </c>
      <c r="BQ48" s="5" t="str">
        <f t="shared" si="14"/>
        <v xml:space="preserve"> </v>
      </c>
    </row>
    <row r="49" spans="1:69" x14ac:dyDescent="0.25">
      <c r="A49" s="9" t="s">
        <v>115</v>
      </c>
      <c r="B49" s="5" t="str">
        <f t="shared" ref="B49:Y49" si="15">IF(B5=1,IF(B14=1,"X"," ")," ")</f>
        <v xml:space="preserve"> </v>
      </c>
      <c r="C49" s="5" t="str">
        <f t="shared" si="15"/>
        <v xml:space="preserve"> </v>
      </c>
      <c r="D49" s="5" t="str">
        <f t="shared" si="15"/>
        <v xml:space="preserve"> </v>
      </c>
      <c r="E49" s="5" t="str">
        <f t="shared" si="15"/>
        <v xml:space="preserve"> </v>
      </c>
      <c r="F49" s="5" t="str">
        <f t="shared" si="15"/>
        <v xml:space="preserve"> </v>
      </c>
      <c r="G49" s="5" t="str">
        <f t="shared" si="15"/>
        <v xml:space="preserve"> </v>
      </c>
      <c r="H49" s="5" t="str">
        <f t="shared" si="15"/>
        <v xml:space="preserve"> </v>
      </c>
      <c r="I49" s="5" t="str">
        <f t="shared" si="15"/>
        <v xml:space="preserve"> </v>
      </c>
      <c r="J49" s="5" t="str">
        <f t="shared" si="15"/>
        <v xml:space="preserve"> </v>
      </c>
      <c r="K49" s="5" t="str">
        <f t="shared" si="15"/>
        <v xml:space="preserve"> </v>
      </c>
      <c r="L49" s="5" t="str">
        <f t="shared" si="15"/>
        <v xml:space="preserve"> </v>
      </c>
      <c r="M49" s="5" t="str">
        <f t="shared" si="15"/>
        <v xml:space="preserve"> </v>
      </c>
      <c r="N49" s="5" t="str">
        <f t="shared" si="15"/>
        <v xml:space="preserve"> </v>
      </c>
      <c r="O49" s="5" t="str">
        <f t="shared" si="15"/>
        <v xml:space="preserve"> </v>
      </c>
      <c r="P49" s="5" t="str">
        <f t="shared" si="15"/>
        <v xml:space="preserve"> </v>
      </c>
      <c r="Q49" s="5" t="str">
        <f t="shared" si="15"/>
        <v xml:space="preserve"> </v>
      </c>
      <c r="R49" s="5" t="str">
        <f t="shared" si="15"/>
        <v xml:space="preserve"> </v>
      </c>
      <c r="S49" s="5" t="str">
        <f t="shared" si="15"/>
        <v xml:space="preserve"> </v>
      </c>
      <c r="T49" s="5" t="str">
        <f t="shared" si="15"/>
        <v xml:space="preserve"> </v>
      </c>
      <c r="U49" s="5" t="str">
        <f t="shared" si="15"/>
        <v xml:space="preserve"> </v>
      </c>
      <c r="V49" s="5" t="str">
        <f t="shared" si="15"/>
        <v xml:space="preserve"> </v>
      </c>
      <c r="W49" s="5" t="str">
        <f t="shared" si="15"/>
        <v xml:space="preserve"> </v>
      </c>
      <c r="X49" s="5" t="str">
        <f t="shared" si="15"/>
        <v xml:space="preserve"> </v>
      </c>
      <c r="Y49" s="5" t="str">
        <f t="shared" si="15"/>
        <v xml:space="preserve"> </v>
      </c>
      <c r="Z49" s="5"/>
      <c r="AA49" s="5" t="str">
        <f t="shared" ref="AA49:BQ49" si="16">IF(AA5=1,IF(AA14=1,"X"," ")," ")</f>
        <v xml:space="preserve"> </v>
      </c>
      <c r="AB49" s="5" t="str">
        <f t="shared" si="16"/>
        <v xml:space="preserve"> </v>
      </c>
      <c r="AC49" s="5" t="str">
        <f t="shared" si="16"/>
        <v xml:space="preserve"> </v>
      </c>
      <c r="AD49" s="5" t="str">
        <f t="shared" si="16"/>
        <v xml:space="preserve"> </v>
      </c>
      <c r="AE49" s="5" t="str">
        <f t="shared" si="16"/>
        <v xml:space="preserve"> </v>
      </c>
      <c r="AF49" s="5" t="str">
        <f t="shared" si="16"/>
        <v xml:space="preserve"> </v>
      </c>
      <c r="AG49" s="5" t="str">
        <f t="shared" si="16"/>
        <v xml:space="preserve"> </v>
      </c>
      <c r="AH49" s="5" t="str">
        <f t="shared" si="16"/>
        <v xml:space="preserve"> </v>
      </c>
      <c r="AI49" s="5" t="str">
        <f t="shared" si="16"/>
        <v xml:space="preserve"> </v>
      </c>
      <c r="AJ49" s="5" t="str">
        <f t="shared" si="16"/>
        <v xml:space="preserve"> </v>
      </c>
      <c r="AK49" s="5" t="str">
        <f t="shared" si="16"/>
        <v xml:space="preserve"> </v>
      </c>
      <c r="AL49" s="5" t="str">
        <f t="shared" si="16"/>
        <v xml:space="preserve"> </v>
      </c>
      <c r="AM49" s="5" t="str">
        <f t="shared" si="16"/>
        <v xml:space="preserve"> </v>
      </c>
      <c r="AN49" s="5" t="str">
        <f t="shared" si="16"/>
        <v xml:space="preserve"> </v>
      </c>
      <c r="AO49" s="5" t="str">
        <f t="shared" si="16"/>
        <v xml:space="preserve"> </v>
      </c>
      <c r="AP49" s="5" t="str">
        <f t="shared" si="16"/>
        <v xml:space="preserve"> </v>
      </c>
      <c r="AQ49" s="5" t="str">
        <f t="shared" si="16"/>
        <v xml:space="preserve"> </v>
      </c>
      <c r="AR49" s="5" t="str">
        <f t="shared" si="16"/>
        <v xml:space="preserve"> </v>
      </c>
      <c r="AS49" s="5" t="str">
        <f t="shared" si="16"/>
        <v xml:space="preserve"> </v>
      </c>
      <c r="AT49" s="5" t="str">
        <f t="shared" si="16"/>
        <v xml:space="preserve"> </v>
      </c>
      <c r="AU49" s="5" t="str">
        <f t="shared" si="16"/>
        <v xml:space="preserve"> </v>
      </c>
      <c r="AV49" s="5" t="str">
        <f t="shared" si="16"/>
        <v xml:space="preserve"> </v>
      </c>
      <c r="AW49" s="5" t="str">
        <f t="shared" si="16"/>
        <v xml:space="preserve"> </v>
      </c>
      <c r="AX49" s="5" t="str">
        <f t="shared" si="16"/>
        <v xml:space="preserve"> </v>
      </c>
      <c r="AY49" s="5" t="str">
        <f t="shared" si="16"/>
        <v xml:space="preserve"> </v>
      </c>
      <c r="AZ49" s="5" t="str">
        <f t="shared" si="16"/>
        <v xml:space="preserve"> </v>
      </c>
      <c r="BA49" s="5" t="str">
        <f t="shared" si="16"/>
        <v xml:space="preserve"> </v>
      </c>
      <c r="BB49" s="5" t="str">
        <f t="shared" si="16"/>
        <v xml:space="preserve"> </v>
      </c>
      <c r="BC49" s="5" t="str">
        <f t="shared" si="16"/>
        <v xml:space="preserve"> </v>
      </c>
      <c r="BD49" s="5" t="str">
        <f t="shared" si="16"/>
        <v xml:space="preserve"> </v>
      </c>
      <c r="BE49" s="5" t="str">
        <f t="shared" si="16"/>
        <v xml:space="preserve"> </v>
      </c>
      <c r="BF49" s="5" t="str">
        <f t="shared" si="16"/>
        <v xml:space="preserve"> </v>
      </c>
      <c r="BG49" s="5" t="str">
        <f t="shared" si="16"/>
        <v xml:space="preserve"> </v>
      </c>
      <c r="BH49" s="5" t="str">
        <f t="shared" si="16"/>
        <v xml:space="preserve"> </v>
      </c>
      <c r="BI49" s="5" t="str">
        <f t="shared" si="16"/>
        <v xml:space="preserve"> </v>
      </c>
      <c r="BJ49" s="5" t="str">
        <f t="shared" si="16"/>
        <v xml:space="preserve"> </v>
      </c>
      <c r="BK49" s="5" t="str">
        <f t="shared" si="16"/>
        <v xml:space="preserve"> </v>
      </c>
      <c r="BL49" s="5" t="str">
        <f t="shared" si="16"/>
        <v xml:space="preserve"> </v>
      </c>
      <c r="BM49" s="5" t="str">
        <f t="shared" si="16"/>
        <v xml:space="preserve"> </v>
      </c>
      <c r="BN49" s="5" t="str">
        <f t="shared" si="16"/>
        <v xml:space="preserve"> </v>
      </c>
      <c r="BO49" s="5" t="str">
        <f t="shared" si="16"/>
        <v xml:space="preserve"> </v>
      </c>
      <c r="BP49" s="5" t="str">
        <f t="shared" si="16"/>
        <v xml:space="preserve"> </v>
      </c>
      <c r="BQ49" s="5" t="str">
        <f t="shared" si="16"/>
        <v xml:space="preserve"> </v>
      </c>
    </row>
    <row r="50" spans="1:69" x14ac:dyDescent="0.25">
      <c r="A50" s="9" t="s">
        <v>116</v>
      </c>
      <c r="B50" s="5" t="str">
        <f t="shared" ref="B50:Y50" si="17">IF(B10=1,IF(B18=1,"X"," ")," ")</f>
        <v xml:space="preserve"> </v>
      </c>
      <c r="C50" s="5" t="str">
        <f t="shared" si="17"/>
        <v xml:space="preserve"> </v>
      </c>
      <c r="D50" s="5" t="str">
        <f t="shared" si="17"/>
        <v xml:space="preserve"> </v>
      </c>
      <c r="E50" s="5" t="str">
        <f t="shared" si="17"/>
        <v xml:space="preserve"> </v>
      </c>
      <c r="F50" s="5" t="str">
        <f t="shared" si="17"/>
        <v xml:space="preserve"> </v>
      </c>
      <c r="G50" s="5" t="str">
        <f t="shared" si="17"/>
        <v xml:space="preserve"> </v>
      </c>
      <c r="H50" s="5" t="str">
        <f t="shared" si="17"/>
        <v xml:space="preserve"> </v>
      </c>
      <c r="I50" s="5" t="str">
        <f t="shared" si="17"/>
        <v xml:space="preserve"> </v>
      </c>
      <c r="J50" s="5" t="str">
        <f t="shared" si="17"/>
        <v xml:space="preserve"> </v>
      </c>
      <c r="K50" s="5" t="str">
        <f t="shared" si="17"/>
        <v xml:space="preserve"> </v>
      </c>
      <c r="L50" s="5" t="str">
        <f t="shared" si="17"/>
        <v xml:space="preserve"> </v>
      </c>
      <c r="M50" s="5" t="str">
        <f t="shared" si="17"/>
        <v xml:space="preserve"> </v>
      </c>
      <c r="N50" s="5" t="str">
        <f t="shared" si="17"/>
        <v xml:space="preserve"> </v>
      </c>
      <c r="O50" s="5" t="str">
        <f t="shared" si="17"/>
        <v xml:space="preserve"> </v>
      </c>
      <c r="P50" s="5" t="str">
        <f t="shared" si="17"/>
        <v xml:space="preserve"> </v>
      </c>
      <c r="Q50" s="5" t="str">
        <f t="shared" si="17"/>
        <v xml:space="preserve"> </v>
      </c>
      <c r="R50" s="5" t="str">
        <f t="shared" si="17"/>
        <v xml:space="preserve"> </v>
      </c>
      <c r="S50" s="5" t="str">
        <f t="shared" si="17"/>
        <v xml:space="preserve"> </v>
      </c>
      <c r="T50" s="5" t="str">
        <f t="shared" si="17"/>
        <v xml:space="preserve"> </v>
      </c>
      <c r="U50" s="5" t="str">
        <f t="shared" si="17"/>
        <v xml:space="preserve"> </v>
      </c>
      <c r="V50" s="5" t="str">
        <f t="shared" si="17"/>
        <v xml:space="preserve"> </v>
      </c>
      <c r="W50" s="5" t="str">
        <f t="shared" si="17"/>
        <v xml:space="preserve"> </v>
      </c>
      <c r="X50" s="5" t="str">
        <f t="shared" si="17"/>
        <v xml:space="preserve"> </v>
      </c>
      <c r="Y50" s="5" t="str">
        <f t="shared" si="17"/>
        <v xml:space="preserve"> </v>
      </c>
      <c r="Z50" s="5"/>
      <c r="AA50" s="5" t="str">
        <f t="shared" ref="AA50:BQ50" si="18">IF(AA10=1,IF(AA18=1,"X"," ")," ")</f>
        <v xml:space="preserve"> </v>
      </c>
      <c r="AB50" s="5" t="str">
        <f t="shared" si="18"/>
        <v xml:space="preserve"> </v>
      </c>
      <c r="AC50" s="5" t="str">
        <f t="shared" si="18"/>
        <v xml:space="preserve"> </v>
      </c>
      <c r="AD50" s="5" t="str">
        <f t="shared" si="18"/>
        <v xml:space="preserve"> </v>
      </c>
      <c r="AE50" s="5" t="str">
        <f t="shared" si="18"/>
        <v xml:space="preserve"> </v>
      </c>
      <c r="AF50" s="5" t="str">
        <f t="shared" si="18"/>
        <v xml:space="preserve"> </v>
      </c>
      <c r="AG50" s="5" t="str">
        <f t="shared" si="18"/>
        <v xml:space="preserve"> </v>
      </c>
      <c r="AH50" s="5" t="str">
        <f t="shared" si="18"/>
        <v xml:space="preserve"> </v>
      </c>
      <c r="AI50" s="5" t="str">
        <f t="shared" si="18"/>
        <v xml:space="preserve"> </v>
      </c>
      <c r="AJ50" s="5" t="str">
        <f t="shared" si="18"/>
        <v xml:space="preserve"> </v>
      </c>
      <c r="AK50" s="5" t="str">
        <f t="shared" si="18"/>
        <v xml:space="preserve"> </v>
      </c>
      <c r="AL50" s="5" t="str">
        <f t="shared" si="18"/>
        <v xml:space="preserve"> </v>
      </c>
      <c r="AM50" s="5" t="str">
        <f t="shared" si="18"/>
        <v xml:space="preserve"> </v>
      </c>
      <c r="AN50" s="5" t="str">
        <f t="shared" si="18"/>
        <v xml:space="preserve"> </v>
      </c>
      <c r="AO50" s="5" t="str">
        <f t="shared" si="18"/>
        <v xml:space="preserve"> </v>
      </c>
      <c r="AP50" s="5" t="str">
        <f t="shared" si="18"/>
        <v xml:space="preserve"> </v>
      </c>
      <c r="AQ50" s="5" t="str">
        <f t="shared" si="18"/>
        <v xml:space="preserve"> </v>
      </c>
      <c r="AR50" s="5" t="str">
        <f t="shared" si="18"/>
        <v xml:space="preserve"> </v>
      </c>
      <c r="AS50" s="5" t="str">
        <f t="shared" si="18"/>
        <v xml:space="preserve"> </v>
      </c>
      <c r="AT50" s="5" t="str">
        <f t="shared" si="18"/>
        <v xml:space="preserve"> </v>
      </c>
      <c r="AU50" s="5" t="str">
        <f t="shared" si="18"/>
        <v xml:space="preserve"> </v>
      </c>
      <c r="AV50" s="5" t="str">
        <f t="shared" si="18"/>
        <v xml:space="preserve"> </v>
      </c>
      <c r="AW50" s="5" t="str">
        <f t="shared" si="18"/>
        <v xml:space="preserve"> </v>
      </c>
      <c r="AX50" s="5" t="str">
        <f t="shared" si="18"/>
        <v xml:space="preserve"> </v>
      </c>
      <c r="AY50" s="5" t="str">
        <f t="shared" si="18"/>
        <v xml:space="preserve"> </v>
      </c>
      <c r="AZ50" s="5" t="str">
        <f t="shared" si="18"/>
        <v xml:space="preserve"> </v>
      </c>
      <c r="BA50" s="5" t="str">
        <f t="shared" si="18"/>
        <v xml:space="preserve"> </v>
      </c>
      <c r="BB50" s="5" t="str">
        <f t="shared" si="18"/>
        <v xml:space="preserve"> </v>
      </c>
      <c r="BC50" s="5" t="str">
        <f t="shared" si="18"/>
        <v xml:space="preserve"> </v>
      </c>
      <c r="BD50" s="5" t="str">
        <f t="shared" si="18"/>
        <v xml:space="preserve"> </v>
      </c>
      <c r="BE50" s="5" t="str">
        <f t="shared" si="18"/>
        <v xml:space="preserve"> </v>
      </c>
      <c r="BF50" s="5" t="str">
        <f t="shared" si="18"/>
        <v xml:space="preserve"> </v>
      </c>
      <c r="BG50" s="5" t="str">
        <f t="shared" si="18"/>
        <v xml:space="preserve"> </v>
      </c>
      <c r="BH50" s="5" t="str">
        <f t="shared" si="18"/>
        <v xml:space="preserve"> </v>
      </c>
      <c r="BI50" s="5" t="str">
        <f t="shared" si="18"/>
        <v xml:space="preserve"> </v>
      </c>
      <c r="BJ50" s="5" t="str">
        <f t="shared" si="18"/>
        <v xml:space="preserve"> </v>
      </c>
      <c r="BK50" s="5" t="str">
        <f t="shared" si="18"/>
        <v xml:space="preserve"> </v>
      </c>
      <c r="BL50" s="5" t="str">
        <f t="shared" si="18"/>
        <v xml:space="preserve"> </v>
      </c>
      <c r="BM50" s="5" t="str">
        <f t="shared" si="18"/>
        <v xml:space="preserve"> </v>
      </c>
      <c r="BN50" s="5" t="str">
        <f t="shared" si="18"/>
        <v xml:space="preserve"> </v>
      </c>
      <c r="BO50" s="5" t="str">
        <f t="shared" si="18"/>
        <v xml:space="preserve"> </v>
      </c>
      <c r="BP50" s="5" t="str">
        <f t="shared" si="18"/>
        <v xml:space="preserve"> </v>
      </c>
      <c r="BQ50" s="5" t="str">
        <f t="shared" si="18"/>
        <v xml:space="preserve"> </v>
      </c>
    </row>
    <row r="51" spans="1:69" x14ac:dyDescent="0.25">
      <c r="A51" s="9" t="s">
        <v>117</v>
      </c>
      <c r="B51" s="5" t="str">
        <f t="shared" ref="B51:Y51" si="19">IF(B8=1,IF(B15=1,"X",IF(B16=1,"X"," "))," ")</f>
        <v xml:space="preserve"> </v>
      </c>
      <c r="C51" s="5" t="str">
        <f t="shared" si="19"/>
        <v xml:space="preserve"> </v>
      </c>
      <c r="D51" s="5" t="str">
        <f t="shared" si="19"/>
        <v xml:space="preserve"> </v>
      </c>
      <c r="E51" s="5" t="str">
        <f t="shared" si="19"/>
        <v xml:space="preserve"> </v>
      </c>
      <c r="F51" s="5" t="str">
        <f t="shared" si="19"/>
        <v xml:space="preserve"> </v>
      </c>
      <c r="G51" s="5" t="str">
        <f t="shared" si="19"/>
        <v xml:space="preserve"> </v>
      </c>
      <c r="H51" s="5" t="str">
        <f t="shared" si="19"/>
        <v xml:space="preserve"> </v>
      </c>
      <c r="I51" s="5" t="str">
        <f t="shared" si="19"/>
        <v xml:space="preserve"> </v>
      </c>
      <c r="J51" s="5" t="str">
        <f t="shared" si="19"/>
        <v xml:space="preserve"> </v>
      </c>
      <c r="K51" s="5" t="str">
        <f t="shared" si="19"/>
        <v xml:space="preserve"> </v>
      </c>
      <c r="L51" s="5" t="str">
        <f t="shared" si="19"/>
        <v xml:space="preserve"> </v>
      </c>
      <c r="M51" s="5" t="str">
        <f t="shared" si="19"/>
        <v xml:space="preserve"> </v>
      </c>
      <c r="N51" s="5" t="str">
        <f t="shared" si="19"/>
        <v xml:space="preserve"> </v>
      </c>
      <c r="O51" s="5" t="str">
        <f t="shared" si="19"/>
        <v xml:space="preserve"> </v>
      </c>
      <c r="P51" s="5" t="str">
        <f t="shared" si="19"/>
        <v xml:space="preserve"> </v>
      </c>
      <c r="Q51" s="5" t="str">
        <f t="shared" si="19"/>
        <v xml:space="preserve"> </v>
      </c>
      <c r="R51" s="5" t="str">
        <f t="shared" si="19"/>
        <v xml:space="preserve"> </v>
      </c>
      <c r="S51" s="5" t="str">
        <f t="shared" si="19"/>
        <v xml:space="preserve"> </v>
      </c>
      <c r="T51" s="5" t="str">
        <f t="shared" si="19"/>
        <v xml:space="preserve"> </v>
      </c>
      <c r="U51" s="5" t="str">
        <f t="shared" si="19"/>
        <v xml:space="preserve"> </v>
      </c>
      <c r="V51" s="5" t="str">
        <f t="shared" si="19"/>
        <v xml:space="preserve"> </v>
      </c>
      <c r="W51" s="5" t="str">
        <f t="shared" si="19"/>
        <v xml:space="preserve"> </v>
      </c>
      <c r="X51" s="5" t="str">
        <f t="shared" si="19"/>
        <v xml:space="preserve"> </v>
      </c>
      <c r="Y51" s="5" t="str">
        <f t="shared" si="19"/>
        <v xml:space="preserve"> </v>
      </c>
      <c r="Z51" s="5"/>
      <c r="AA51" s="5" t="str">
        <f t="shared" ref="AA51:BQ51" si="20">IF(AA8=1,IF(AA15=1,"X",IF(AA16=1,"X"," "))," ")</f>
        <v xml:space="preserve"> </v>
      </c>
      <c r="AB51" s="5" t="str">
        <f t="shared" si="20"/>
        <v xml:space="preserve"> </v>
      </c>
      <c r="AC51" s="5" t="str">
        <f t="shared" si="20"/>
        <v xml:space="preserve"> </v>
      </c>
      <c r="AD51" s="5" t="str">
        <f t="shared" si="20"/>
        <v xml:space="preserve"> </v>
      </c>
      <c r="AE51" s="5" t="str">
        <f t="shared" si="20"/>
        <v xml:space="preserve"> </v>
      </c>
      <c r="AF51" s="5" t="str">
        <f t="shared" si="20"/>
        <v xml:space="preserve"> </v>
      </c>
      <c r="AG51" s="5" t="str">
        <f t="shared" si="20"/>
        <v xml:space="preserve"> </v>
      </c>
      <c r="AH51" s="5" t="str">
        <f t="shared" si="20"/>
        <v xml:space="preserve"> </v>
      </c>
      <c r="AI51" s="5" t="str">
        <f t="shared" si="20"/>
        <v xml:space="preserve"> </v>
      </c>
      <c r="AJ51" s="5" t="str">
        <f t="shared" si="20"/>
        <v xml:space="preserve"> </v>
      </c>
      <c r="AK51" s="5" t="str">
        <f t="shared" si="20"/>
        <v xml:space="preserve"> </v>
      </c>
      <c r="AL51" s="5" t="str">
        <f t="shared" si="20"/>
        <v xml:space="preserve"> </v>
      </c>
      <c r="AM51" s="5" t="str">
        <f t="shared" si="20"/>
        <v xml:space="preserve"> </v>
      </c>
      <c r="AN51" s="5" t="str">
        <f t="shared" si="20"/>
        <v xml:space="preserve"> </v>
      </c>
      <c r="AO51" s="5" t="str">
        <f t="shared" si="20"/>
        <v xml:space="preserve"> </v>
      </c>
      <c r="AP51" s="5" t="str">
        <f t="shared" si="20"/>
        <v xml:space="preserve"> </v>
      </c>
      <c r="AQ51" s="5" t="str">
        <f t="shared" si="20"/>
        <v xml:space="preserve"> </v>
      </c>
      <c r="AR51" s="5" t="str">
        <f t="shared" si="20"/>
        <v xml:space="preserve"> </v>
      </c>
      <c r="AS51" s="5" t="str">
        <f t="shared" si="20"/>
        <v xml:space="preserve"> </v>
      </c>
      <c r="AT51" s="5" t="str">
        <f t="shared" si="20"/>
        <v xml:space="preserve"> </v>
      </c>
      <c r="AU51" s="5" t="str">
        <f t="shared" si="20"/>
        <v xml:space="preserve"> </v>
      </c>
      <c r="AV51" s="5" t="str">
        <f t="shared" si="20"/>
        <v xml:space="preserve"> </v>
      </c>
      <c r="AW51" s="5" t="str">
        <f t="shared" si="20"/>
        <v xml:space="preserve"> </v>
      </c>
      <c r="AX51" s="5" t="str">
        <f t="shared" si="20"/>
        <v xml:space="preserve"> </v>
      </c>
      <c r="AY51" s="5" t="str">
        <f t="shared" si="20"/>
        <v xml:space="preserve"> </v>
      </c>
      <c r="AZ51" s="5" t="str">
        <f t="shared" si="20"/>
        <v xml:space="preserve"> </v>
      </c>
      <c r="BA51" s="5" t="str">
        <f t="shared" si="20"/>
        <v xml:space="preserve"> </v>
      </c>
      <c r="BB51" s="5" t="str">
        <f t="shared" si="20"/>
        <v xml:space="preserve"> </v>
      </c>
      <c r="BC51" s="5" t="str">
        <f t="shared" si="20"/>
        <v xml:space="preserve"> </v>
      </c>
      <c r="BD51" s="5" t="str">
        <f t="shared" si="20"/>
        <v xml:space="preserve"> </v>
      </c>
      <c r="BE51" s="5" t="str">
        <f t="shared" si="20"/>
        <v xml:space="preserve"> </v>
      </c>
      <c r="BF51" s="5" t="str">
        <f t="shared" si="20"/>
        <v xml:space="preserve"> </v>
      </c>
      <c r="BG51" s="5" t="str">
        <f t="shared" si="20"/>
        <v xml:space="preserve"> </v>
      </c>
      <c r="BH51" s="5" t="str">
        <f t="shared" si="20"/>
        <v xml:space="preserve"> </v>
      </c>
      <c r="BI51" s="5" t="str">
        <f t="shared" si="20"/>
        <v xml:space="preserve"> </v>
      </c>
      <c r="BJ51" s="5" t="str">
        <f t="shared" si="20"/>
        <v xml:space="preserve"> </v>
      </c>
      <c r="BK51" s="5" t="str">
        <f t="shared" si="20"/>
        <v xml:space="preserve"> </v>
      </c>
      <c r="BL51" s="5" t="str">
        <f t="shared" si="20"/>
        <v xml:space="preserve"> </v>
      </c>
      <c r="BM51" s="5" t="str">
        <f t="shared" si="20"/>
        <v xml:space="preserve"> </v>
      </c>
      <c r="BN51" s="5" t="str">
        <f t="shared" si="20"/>
        <v xml:space="preserve"> </v>
      </c>
      <c r="BO51" s="5" t="str">
        <f t="shared" si="20"/>
        <v xml:space="preserve"> </v>
      </c>
      <c r="BP51" s="5" t="str">
        <f t="shared" si="20"/>
        <v xml:space="preserve"> </v>
      </c>
      <c r="BQ51" s="5" t="str">
        <f t="shared" si="20"/>
        <v xml:space="preserve"> </v>
      </c>
    </row>
  </sheetData>
  <mergeCells count="2">
    <mergeCell ref="BS2:BS3"/>
    <mergeCell ref="BT2:BT3"/>
  </mergeCells>
  <pageMargins left="0.25" right="0.25" top="0.75" bottom="0.75" header="0.3" footer="0.3"/>
  <pageSetup paperSize="9" scale="55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rota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Telerman</cp:lastModifiedBy>
  <cp:lastPrinted>2026-03-31T22:37:05Z</cp:lastPrinted>
  <dcterms:created xsi:type="dcterms:W3CDTF">2006-09-16T00:00:00Z</dcterms:created>
  <dcterms:modified xsi:type="dcterms:W3CDTF">2026-04-18T18:44:34Z</dcterms:modified>
</cp:coreProperties>
</file>